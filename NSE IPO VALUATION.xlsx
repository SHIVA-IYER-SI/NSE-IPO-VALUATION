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0948df6e4a328dfe/FINANCIAL MODELLING/EQUITY VALUATION/COMPLETED/NSE/"/>
    </mc:Choice>
  </mc:AlternateContent>
  <xr:revisionPtr revIDLastSave="0" documentId="8_{CFE81562-9E62-44DE-8015-DC43781A91FE}" xr6:coauthVersionLast="47" xr6:coauthVersionMax="47" xr10:uidLastSave="{00000000-0000-0000-0000-000000000000}"/>
  <bookViews>
    <workbookView xWindow="-108" yWindow="-108" windowWidth="23256" windowHeight="12456" tabRatio="500" firstSheet="7" activeTab="8" xr2:uid="{00000000-000D-0000-FFFF-FFFF00000000}"/>
  </bookViews>
  <sheets>
    <sheet name="INCOME STATEMENT" sheetId="1" r:id="rId1"/>
    <sheet name="CASH FLOW" sheetId="2" r:id="rId2"/>
    <sheet name="BALANCE SHEET" sheetId="3" r:id="rId3"/>
    <sheet name="KEY RATIOS" sheetId="4" r:id="rId4"/>
    <sheet name="Comparable Company Analysis (CC" sheetId="5" r:id="rId5"/>
    <sheet name="Final Valuation Summary" sheetId="6" r:id="rId6"/>
    <sheet name="FORCAST SCHEDULES" sheetId="7" r:id="rId7"/>
    <sheet name="BETA AND EV_MULTIPLE CALCULATIO" sheetId="8" r:id="rId8"/>
    <sheet name="Free Cash Flow Calculation." sheetId="9" r:id="rId9"/>
    <sheet name="WACC AND DCF CALCULATION" sheetId="10" r:id="rId10"/>
    <sheet name="ERROR CHECK" sheetId="11" r:id="rId11"/>
    <sheet name="ASSUMPTIONS AND REASONING" sheetId="12" r:id="rId1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6" i="12" l="1"/>
  <c r="D7" i="12" s="1"/>
  <c r="D5" i="12"/>
  <c r="D4" i="12"/>
  <c r="G82" i="10"/>
  <c r="H82" i="10" s="1"/>
  <c r="E82" i="10"/>
  <c r="D82" i="10" s="1"/>
  <c r="C7" i="10"/>
  <c r="C6" i="10"/>
  <c r="I5" i="9"/>
  <c r="H5" i="9"/>
  <c r="G5" i="9"/>
  <c r="F5" i="9"/>
  <c r="E5" i="9"/>
  <c r="D5" i="9"/>
  <c r="C5" i="9"/>
  <c r="F15" i="8"/>
  <c r="C49" i="10" s="1"/>
  <c r="F14" i="8"/>
  <c r="F13" i="8"/>
  <c r="F12" i="8"/>
  <c r="G7" i="8"/>
  <c r="D65" i="7"/>
  <c r="F66" i="7" s="1"/>
  <c r="H64" i="7"/>
  <c r="H65" i="7" s="1"/>
  <c r="G64" i="7"/>
  <c r="F64" i="7"/>
  <c r="E64" i="7"/>
  <c r="E65" i="7" s="1"/>
  <c r="G66" i="7" s="1"/>
  <c r="D64" i="7"/>
  <c r="C64" i="7"/>
  <c r="C65" i="7" s="1"/>
  <c r="E66" i="7" s="1"/>
  <c r="I63" i="7"/>
  <c r="H63" i="7"/>
  <c r="G63" i="7"/>
  <c r="G65" i="7" s="1"/>
  <c r="F63" i="7"/>
  <c r="F65" i="7" s="1"/>
  <c r="E63" i="7"/>
  <c r="D63" i="7"/>
  <c r="C63" i="7"/>
  <c r="H59" i="7"/>
  <c r="I57" i="7"/>
  <c r="H57" i="7"/>
  <c r="G57" i="7"/>
  <c r="F57" i="7"/>
  <c r="E57" i="7"/>
  <c r="D57" i="7"/>
  <c r="C57" i="7"/>
  <c r="I56" i="7"/>
  <c r="I58" i="7" s="1"/>
  <c r="H56" i="7"/>
  <c r="H58" i="7" s="1"/>
  <c r="G56" i="7"/>
  <c r="G58" i="7" s="1"/>
  <c r="I59" i="7" s="1"/>
  <c r="F56" i="7"/>
  <c r="F58" i="7" s="1"/>
  <c r="E56" i="7"/>
  <c r="E58" i="7" s="1"/>
  <c r="G59" i="7" s="1"/>
  <c r="D56" i="7"/>
  <c r="D58" i="7" s="1"/>
  <c r="C56" i="7"/>
  <c r="I50" i="7"/>
  <c r="I49" i="7"/>
  <c r="I51" i="7" s="1"/>
  <c r="H49" i="7"/>
  <c r="H51" i="7" s="1"/>
  <c r="G49" i="7"/>
  <c r="F49" i="7"/>
  <c r="E49" i="7"/>
  <c r="D49" i="7"/>
  <c r="D51" i="7" s="1"/>
  <c r="C49" i="7"/>
  <c r="I48" i="7"/>
  <c r="H48" i="7"/>
  <c r="G48" i="7"/>
  <c r="F48" i="7"/>
  <c r="E48" i="7"/>
  <c r="D48" i="7"/>
  <c r="C48" i="7"/>
  <c r="I42" i="7"/>
  <c r="H42" i="7"/>
  <c r="G42" i="7"/>
  <c r="F42" i="7"/>
  <c r="E42" i="7"/>
  <c r="D42" i="7"/>
  <c r="C42" i="7"/>
  <c r="I35" i="7"/>
  <c r="H35" i="7"/>
  <c r="G35" i="7"/>
  <c r="F35" i="7"/>
  <c r="E35" i="7"/>
  <c r="D35" i="7"/>
  <c r="C35" i="7"/>
  <c r="H30" i="7"/>
  <c r="F30" i="7"/>
  <c r="I29" i="7"/>
  <c r="H29" i="7"/>
  <c r="G29" i="7"/>
  <c r="F29" i="7"/>
  <c r="E29" i="7"/>
  <c r="D29" i="7"/>
  <c r="G30" i="7" s="1"/>
  <c r="C29" i="7"/>
  <c r="N25" i="7"/>
  <c r="M25" i="7"/>
  <c r="L25" i="7"/>
  <c r="K25" i="7"/>
  <c r="J25" i="7"/>
  <c r="C18" i="7"/>
  <c r="C17" i="7"/>
  <c r="D14" i="7"/>
  <c r="I9" i="7"/>
  <c r="H9" i="7"/>
  <c r="G9" i="7"/>
  <c r="F9" i="7"/>
  <c r="E9" i="7"/>
  <c r="D9" i="7"/>
  <c r="C9" i="7"/>
  <c r="I8" i="7"/>
  <c r="I7" i="7"/>
  <c r="I5" i="7" s="1"/>
  <c r="I6" i="7" s="1"/>
  <c r="H7" i="7"/>
  <c r="G7" i="7"/>
  <c r="F7" i="7"/>
  <c r="E7" i="7"/>
  <c r="D7" i="7"/>
  <c r="J4" i="7"/>
  <c r="I4" i="7"/>
  <c r="G4" i="7"/>
  <c r="F4" i="7"/>
  <c r="E4" i="7"/>
  <c r="D4" i="7"/>
  <c r="F15" i="5"/>
  <c r="E15" i="5"/>
  <c r="D15" i="5"/>
  <c r="F14" i="5"/>
  <c r="E14" i="5"/>
  <c r="G14" i="5" s="1"/>
  <c r="D14" i="5"/>
  <c r="F13" i="5"/>
  <c r="E13" i="5"/>
  <c r="D13" i="5"/>
  <c r="G13" i="5" s="1"/>
  <c r="G12" i="5"/>
  <c r="G11" i="5"/>
  <c r="G10" i="5"/>
  <c r="G9" i="5"/>
  <c r="I22" i="4"/>
  <c r="H22" i="4"/>
  <c r="G22" i="4"/>
  <c r="F22" i="4"/>
  <c r="E22" i="4"/>
  <c r="D22" i="4"/>
  <c r="C22" i="4"/>
  <c r="G18" i="4"/>
  <c r="I15" i="4"/>
  <c r="H15" i="4"/>
  <c r="G15" i="4"/>
  <c r="F15" i="4"/>
  <c r="E15" i="4"/>
  <c r="D15" i="4"/>
  <c r="C15" i="4"/>
  <c r="N14" i="4"/>
  <c r="M14" i="4"/>
  <c r="L14" i="4"/>
  <c r="K14" i="4"/>
  <c r="J14" i="4"/>
  <c r="I14" i="4"/>
  <c r="H14" i="4"/>
  <c r="G14" i="4"/>
  <c r="F14" i="4"/>
  <c r="E14" i="4"/>
  <c r="D14" i="4"/>
  <c r="C14" i="4"/>
  <c r="E11" i="4"/>
  <c r="D11" i="4"/>
  <c r="I10" i="4"/>
  <c r="H10" i="4"/>
  <c r="D6" i="4"/>
  <c r="F31" i="3"/>
  <c r="E31" i="3"/>
  <c r="I27" i="3"/>
  <c r="I31" i="3" s="1"/>
  <c r="H27" i="3"/>
  <c r="H31" i="3" s="1"/>
  <c r="G27" i="3"/>
  <c r="F27" i="3"/>
  <c r="E27" i="3"/>
  <c r="E10" i="4" s="1"/>
  <c r="D27" i="3"/>
  <c r="D10" i="4" s="1"/>
  <c r="C27" i="3"/>
  <c r="C10" i="4" s="1"/>
  <c r="I26" i="3"/>
  <c r="I64" i="7" s="1"/>
  <c r="I65" i="7" s="1"/>
  <c r="I22" i="3"/>
  <c r="H22" i="3"/>
  <c r="H50" i="7" s="1"/>
  <c r="G22" i="3"/>
  <c r="G50" i="7" s="1"/>
  <c r="F22" i="3"/>
  <c r="F50" i="7" s="1"/>
  <c r="E22" i="3"/>
  <c r="E50" i="7" s="1"/>
  <c r="E51" i="7" s="1"/>
  <c r="D22" i="3"/>
  <c r="D50" i="7" s="1"/>
  <c r="C22" i="3"/>
  <c r="C50" i="7" s="1"/>
  <c r="C51" i="7" s="1"/>
  <c r="C18" i="3"/>
  <c r="E14" i="3"/>
  <c r="D14" i="3"/>
  <c r="D34" i="7" s="1"/>
  <c r="D36" i="7" s="1"/>
  <c r="C14" i="3"/>
  <c r="I13" i="3"/>
  <c r="I11" i="4" s="1"/>
  <c r="H13" i="3"/>
  <c r="H11" i="4" s="1"/>
  <c r="G13" i="3"/>
  <c r="G11" i="4" s="1"/>
  <c r="F13" i="3"/>
  <c r="F11" i="4" s="1"/>
  <c r="E13" i="3"/>
  <c r="D13" i="3"/>
  <c r="C13" i="3"/>
  <c r="C11" i="4" s="1"/>
  <c r="I10" i="3"/>
  <c r="I14" i="3" s="1"/>
  <c r="H10" i="3"/>
  <c r="H14" i="3" s="1"/>
  <c r="G10" i="3"/>
  <c r="F10" i="3"/>
  <c r="E10" i="3"/>
  <c r="D10" i="3"/>
  <c r="C10" i="3"/>
  <c r="I7" i="3"/>
  <c r="H7" i="3"/>
  <c r="G7" i="3"/>
  <c r="F7" i="3"/>
  <c r="E7" i="3"/>
  <c r="D7" i="3"/>
  <c r="C7" i="3"/>
  <c r="C7" i="4" s="1"/>
  <c r="I6" i="3"/>
  <c r="N4" i="3"/>
  <c r="M4" i="3"/>
  <c r="L4" i="3"/>
  <c r="K4" i="3"/>
  <c r="J4" i="3"/>
  <c r="I4" i="3"/>
  <c r="D33" i="2"/>
  <c r="D31" i="2"/>
  <c r="E29" i="2"/>
  <c r="J27" i="2"/>
  <c r="J25" i="2"/>
  <c r="F20" i="2"/>
  <c r="E20" i="2"/>
  <c r="O18" i="2"/>
  <c r="N18" i="2"/>
  <c r="M18" i="2"/>
  <c r="L18" i="2"/>
  <c r="K18" i="2"/>
  <c r="J18" i="2"/>
  <c r="I18" i="2"/>
  <c r="H18" i="2"/>
  <c r="H20" i="2" s="1"/>
  <c r="G18" i="2"/>
  <c r="F18" i="2"/>
  <c r="E18" i="2"/>
  <c r="J17" i="2"/>
  <c r="J20" i="2" s="1"/>
  <c r="I17" i="2"/>
  <c r="H17" i="2"/>
  <c r="G17" i="2"/>
  <c r="F17" i="2"/>
  <c r="E17" i="2"/>
  <c r="J16" i="2"/>
  <c r="I7" i="9" s="1"/>
  <c r="I16" i="2"/>
  <c r="H7" i="9" s="1"/>
  <c r="H16" i="2"/>
  <c r="G7" i="9" s="1"/>
  <c r="G16" i="2"/>
  <c r="F7" i="9" s="1"/>
  <c r="F16" i="2"/>
  <c r="E7" i="9" s="1"/>
  <c r="E16" i="2"/>
  <c r="D7" i="9" s="1"/>
  <c r="I13" i="2"/>
  <c r="J12" i="2"/>
  <c r="I12" i="2"/>
  <c r="H12" i="2"/>
  <c r="G12" i="2"/>
  <c r="F12" i="2"/>
  <c r="E12" i="2"/>
  <c r="J11" i="2"/>
  <c r="I11" i="2"/>
  <c r="H11" i="2"/>
  <c r="G11" i="2"/>
  <c r="F11" i="2"/>
  <c r="E11" i="2"/>
  <c r="J10" i="2"/>
  <c r="I72" i="7" s="1"/>
  <c r="I10" i="2"/>
  <c r="H72" i="7" s="1"/>
  <c r="H10" i="2"/>
  <c r="G72" i="7" s="1"/>
  <c r="G10" i="2"/>
  <c r="F72" i="7" s="1"/>
  <c r="F10" i="2"/>
  <c r="E72" i="7" s="1"/>
  <c r="E10" i="2"/>
  <c r="D72" i="7" s="1"/>
  <c r="J9" i="2"/>
  <c r="I71" i="7" s="1"/>
  <c r="I9" i="2"/>
  <c r="H71" i="7" s="1"/>
  <c r="H9" i="2"/>
  <c r="G71" i="7" s="1"/>
  <c r="G9" i="2"/>
  <c r="F71" i="7" s="1"/>
  <c r="F73" i="7" s="1"/>
  <c r="F6" i="9" s="1"/>
  <c r="F9" i="2"/>
  <c r="E71" i="7" s="1"/>
  <c r="E9" i="2"/>
  <c r="D71" i="7" s="1"/>
  <c r="J8" i="2"/>
  <c r="I70" i="7" s="1"/>
  <c r="I8" i="2"/>
  <c r="H70" i="7" s="1"/>
  <c r="H73" i="7" s="1"/>
  <c r="H6" i="9" s="1"/>
  <c r="H8" i="2"/>
  <c r="G70" i="7" s="1"/>
  <c r="G73" i="7" s="1"/>
  <c r="G6" i="9" s="1"/>
  <c r="G8" i="2"/>
  <c r="F70" i="7" s="1"/>
  <c r="F8" i="2"/>
  <c r="E70" i="7" s="1"/>
  <c r="E8" i="2"/>
  <c r="D70" i="7" s="1"/>
  <c r="D73" i="7" s="1"/>
  <c r="D6" i="9" s="1"/>
  <c r="J7" i="2"/>
  <c r="I7" i="2"/>
  <c r="H7" i="2"/>
  <c r="G7" i="2"/>
  <c r="F7" i="2"/>
  <c r="E7" i="2"/>
  <c r="I6" i="2"/>
  <c r="H6" i="2"/>
  <c r="H13" i="2" s="1"/>
  <c r="G6" i="2"/>
  <c r="G13" i="2" s="1"/>
  <c r="F6" i="2"/>
  <c r="F13" i="2" s="1"/>
  <c r="D38" i="1"/>
  <c r="E38" i="1" s="1"/>
  <c r="I36" i="1"/>
  <c r="H36" i="1"/>
  <c r="G36" i="1"/>
  <c r="G35" i="1"/>
  <c r="G17" i="4" s="1"/>
  <c r="I34" i="1"/>
  <c r="H34" i="1"/>
  <c r="I33" i="1"/>
  <c r="I23" i="7" s="1"/>
  <c r="H33" i="1"/>
  <c r="H35" i="1" s="1"/>
  <c r="H17" i="4" s="1"/>
  <c r="G33" i="1"/>
  <c r="F33" i="1"/>
  <c r="E33" i="1"/>
  <c r="D33" i="1"/>
  <c r="C33" i="1"/>
  <c r="C39" i="1" s="1"/>
  <c r="I30" i="1"/>
  <c r="H30" i="1"/>
  <c r="G30" i="1"/>
  <c r="F30" i="1"/>
  <c r="E30" i="1"/>
  <c r="D30" i="1"/>
  <c r="C30" i="1"/>
  <c r="I27" i="1"/>
  <c r="H27" i="1"/>
  <c r="G27" i="1"/>
  <c r="F27" i="1"/>
  <c r="E27" i="1"/>
  <c r="D27" i="1"/>
  <c r="C27" i="1"/>
  <c r="I26" i="1"/>
  <c r="J24" i="1"/>
  <c r="K24" i="1" s="1"/>
  <c r="L24" i="1" s="1"/>
  <c r="M24" i="1" s="1"/>
  <c r="N24" i="1" s="1"/>
  <c r="I22" i="1"/>
  <c r="H22" i="1"/>
  <c r="G22" i="1"/>
  <c r="I21" i="1"/>
  <c r="I16" i="4" s="1"/>
  <c r="I20" i="1"/>
  <c r="H20" i="1"/>
  <c r="H21" i="1" s="1"/>
  <c r="H16" i="4" s="1"/>
  <c r="G20" i="1"/>
  <c r="G21" i="1" s="1"/>
  <c r="G16" i="4" s="1"/>
  <c r="F20" i="1"/>
  <c r="F22" i="1" s="1"/>
  <c r="E20" i="1"/>
  <c r="E22" i="1" s="1"/>
  <c r="D20" i="1"/>
  <c r="D22" i="1" s="1"/>
  <c r="C20" i="1"/>
  <c r="C22" i="1" s="1"/>
  <c r="I18" i="1"/>
  <c r="H18" i="1"/>
  <c r="G18" i="1"/>
  <c r="F18" i="1"/>
  <c r="E18" i="1"/>
  <c r="D18" i="1"/>
  <c r="C18" i="1"/>
  <c r="I16" i="1"/>
  <c r="H16" i="1"/>
  <c r="G16" i="1"/>
  <c r="E16" i="1"/>
  <c r="D16" i="1"/>
  <c r="C16" i="1"/>
  <c r="I14" i="1"/>
  <c r="H14" i="1"/>
  <c r="E14" i="1"/>
  <c r="D14" i="1"/>
  <c r="I12" i="1"/>
  <c r="H12" i="1"/>
  <c r="G12" i="1"/>
  <c r="G14" i="1" s="1"/>
  <c r="F12" i="1"/>
  <c r="F16" i="1" s="1"/>
  <c r="J10" i="1"/>
  <c r="K5" i="1"/>
  <c r="L5" i="1" s="1"/>
  <c r="M5" i="1" s="1"/>
  <c r="N5" i="1" s="1"/>
  <c r="I5" i="1"/>
  <c r="H5" i="1"/>
  <c r="G5" i="1"/>
  <c r="F5" i="1"/>
  <c r="E5" i="1"/>
  <c r="D5" i="1"/>
  <c r="J4" i="1"/>
  <c r="K4" i="1" s="1"/>
  <c r="K63" i="7" l="1"/>
  <c r="K5" i="7"/>
  <c r="K11" i="1"/>
  <c r="K15" i="1"/>
  <c r="L4" i="1"/>
  <c r="K10" i="1"/>
  <c r="K12" i="1" s="1"/>
  <c r="K57" i="7"/>
  <c r="E7" i="4"/>
  <c r="F38" i="1"/>
  <c r="G38" i="1" s="1"/>
  <c r="E6" i="4"/>
  <c r="H32" i="3"/>
  <c r="I32" i="3"/>
  <c r="H34" i="7"/>
  <c r="H41" i="7"/>
  <c r="H43" i="7" s="1"/>
  <c r="E32" i="3"/>
  <c r="D18" i="3"/>
  <c r="E8" i="7"/>
  <c r="E15" i="7"/>
  <c r="E23" i="7"/>
  <c r="E36" i="1"/>
  <c r="E34" i="1"/>
  <c r="E39" i="1"/>
  <c r="F25" i="2"/>
  <c r="E18" i="4"/>
  <c r="I24" i="7"/>
  <c r="I25" i="7" s="1"/>
  <c r="I16" i="7"/>
  <c r="H18" i="3"/>
  <c r="D41" i="7"/>
  <c r="D43" i="7" s="1"/>
  <c r="C4" i="9"/>
  <c r="C18" i="4"/>
  <c r="C36" i="1"/>
  <c r="C6" i="4"/>
  <c r="I34" i="7"/>
  <c r="I36" i="7" s="1"/>
  <c r="I41" i="7"/>
  <c r="I43" i="7" s="1"/>
  <c r="E34" i="7"/>
  <c r="E18" i="3"/>
  <c r="F32" i="3"/>
  <c r="F4" i="9"/>
  <c r="F8" i="9" s="1"/>
  <c r="F18" i="4"/>
  <c r="F6" i="4"/>
  <c r="F15" i="7"/>
  <c r="F39" i="1"/>
  <c r="G25" i="2"/>
  <c r="F23" i="7"/>
  <c r="I20" i="2"/>
  <c r="C15" i="10"/>
  <c r="E5" i="7"/>
  <c r="E6" i="7" s="1"/>
  <c r="I15" i="7"/>
  <c r="E41" i="7"/>
  <c r="E43" i="7" s="1"/>
  <c r="E4" i="9"/>
  <c r="E8" i="9" s="1"/>
  <c r="D4" i="9"/>
  <c r="D8" i="9" s="1"/>
  <c r="D23" i="7"/>
  <c r="D18" i="4"/>
  <c r="D15" i="7"/>
  <c r="D36" i="1"/>
  <c r="D34" i="1"/>
  <c r="D39" i="1"/>
  <c r="E6" i="2"/>
  <c r="E13" i="2" s="1"/>
  <c r="E52" i="7"/>
  <c r="G31" i="3"/>
  <c r="G19" i="4" s="1"/>
  <c r="G10" i="4"/>
  <c r="C36" i="7"/>
  <c r="E37" i="7" s="1"/>
  <c r="C21" i="1"/>
  <c r="C16" i="4" s="1"/>
  <c r="G20" i="2"/>
  <c r="D7" i="4"/>
  <c r="F5" i="7"/>
  <c r="F18" i="3"/>
  <c r="D5" i="7"/>
  <c r="D6" i="7" s="1"/>
  <c r="J63" i="7"/>
  <c r="J64" i="7" s="1"/>
  <c r="C5" i="5"/>
  <c r="G5" i="5" s="1"/>
  <c r="J57" i="7"/>
  <c r="J56" i="7" s="1"/>
  <c r="E25" i="2"/>
  <c r="I18" i="3"/>
  <c r="F19" i="4"/>
  <c r="C35" i="1"/>
  <c r="C17" i="4" s="1"/>
  <c r="J11" i="1"/>
  <c r="J12" i="1" s="1"/>
  <c r="G34" i="1"/>
  <c r="F14" i="3"/>
  <c r="C31" i="3"/>
  <c r="C32" i="3" s="1"/>
  <c r="H18" i="4"/>
  <c r="J5" i="7"/>
  <c r="H4" i="7"/>
  <c r="G5" i="7"/>
  <c r="G6" i="7" s="1"/>
  <c r="D21" i="1"/>
  <c r="D16" i="4" s="1"/>
  <c r="F34" i="1"/>
  <c r="D35" i="1"/>
  <c r="D17" i="4" s="1"/>
  <c r="I73" i="7"/>
  <c r="I6" i="9" s="1"/>
  <c r="F14" i="1"/>
  <c r="E21" i="1"/>
  <c r="E16" i="4" s="1"/>
  <c r="E35" i="1"/>
  <c r="E17" i="4" s="1"/>
  <c r="F36" i="1"/>
  <c r="F21" i="1"/>
  <c r="F16" i="4" s="1"/>
  <c r="I4" i="9"/>
  <c r="I35" i="1"/>
  <c r="I17" i="4" s="1"/>
  <c r="I19" i="4"/>
  <c r="J6" i="2"/>
  <c r="J13" i="2" s="1"/>
  <c r="J30" i="2" s="1"/>
  <c r="F35" i="1"/>
  <c r="F17" i="4" s="1"/>
  <c r="G14" i="3"/>
  <c r="C41" i="7"/>
  <c r="C43" i="7" s="1"/>
  <c r="C34" i="7"/>
  <c r="D31" i="3"/>
  <c r="I18" i="4"/>
  <c r="H36" i="7"/>
  <c r="I25" i="2"/>
  <c r="F10" i="4"/>
  <c r="H15" i="7"/>
  <c r="I30" i="7"/>
  <c r="J29" i="7" s="1"/>
  <c r="G51" i="7"/>
  <c r="I52" i="7" s="1"/>
  <c r="J49" i="7" s="1"/>
  <c r="F59" i="7"/>
  <c r="I66" i="7"/>
  <c r="J7" i="7"/>
  <c r="F7" i="4"/>
  <c r="H19" i="4"/>
  <c r="G23" i="7"/>
  <c r="G4" i="9"/>
  <c r="G8" i="9" s="1"/>
  <c r="G7" i="4"/>
  <c r="J9" i="7"/>
  <c r="H4" i="9"/>
  <c r="H8" i="9" s="1"/>
  <c r="H23" i="7"/>
  <c r="E73" i="7"/>
  <c r="E6" i="9" s="1"/>
  <c r="H25" i="2"/>
  <c r="G15" i="5"/>
  <c r="G15" i="7"/>
  <c r="E36" i="7"/>
  <c r="F51" i="7"/>
  <c r="C58" i="7"/>
  <c r="E59" i="7" s="1"/>
  <c r="H66" i="7"/>
  <c r="I30" i="2" l="1"/>
  <c r="J14" i="1"/>
  <c r="J15" i="1"/>
  <c r="J30" i="7"/>
  <c r="K29" i="7" s="1"/>
  <c r="J9" i="3"/>
  <c r="D24" i="7"/>
  <c r="D25" i="7" s="1"/>
  <c r="E27" i="2"/>
  <c r="D16" i="7"/>
  <c r="D17" i="7" s="1"/>
  <c r="H52" i="7"/>
  <c r="H16" i="7"/>
  <c r="H24" i="7"/>
  <c r="H25" i="7" s="1"/>
  <c r="I27" i="2"/>
  <c r="F34" i="7"/>
  <c r="F36" i="7" s="1"/>
  <c r="F41" i="7"/>
  <c r="F43" i="7" s="1"/>
  <c r="J58" i="7"/>
  <c r="J24" i="3"/>
  <c r="K14" i="1"/>
  <c r="J21" i="3"/>
  <c r="K17" i="2" s="1"/>
  <c r="K4" i="7"/>
  <c r="J20" i="3"/>
  <c r="G32" i="3"/>
  <c r="H44" i="7"/>
  <c r="F24" i="7"/>
  <c r="F25" i="7" s="1"/>
  <c r="F16" i="7"/>
  <c r="G27" i="2"/>
  <c r="G30" i="2" s="1"/>
  <c r="E24" i="7"/>
  <c r="E25" i="7" s="1"/>
  <c r="E16" i="7"/>
  <c r="F27" i="2"/>
  <c r="F30" i="2" s="1"/>
  <c r="L57" i="7"/>
  <c r="L63" i="7"/>
  <c r="M4" i="1"/>
  <c r="L10" i="1"/>
  <c r="L11" i="1"/>
  <c r="L5" i="7"/>
  <c r="J65" i="7"/>
  <c r="J26" i="3"/>
  <c r="K9" i="2" s="1"/>
  <c r="J71" i="7" s="1"/>
  <c r="F6" i="7"/>
  <c r="F8" i="7"/>
  <c r="G44" i="7"/>
  <c r="K15" i="4"/>
  <c r="K16" i="1"/>
  <c r="K18" i="1"/>
  <c r="D32" i="3"/>
  <c r="B9" i="11" s="1"/>
  <c r="D19" i="4"/>
  <c r="E30" i="2"/>
  <c r="E31" i="2" s="1"/>
  <c r="G8" i="7"/>
  <c r="F52" i="7"/>
  <c r="J8" i="7"/>
  <c r="J19" i="1"/>
  <c r="H5" i="7"/>
  <c r="H6" i="7" s="1"/>
  <c r="D8" i="7"/>
  <c r="G52" i="7"/>
  <c r="K6" i="7"/>
  <c r="D33" i="10"/>
  <c r="G16" i="7"/>
  <c r="G24" i="7"/>
  <c r="G25" i="7" s="1"/>
  <c r="H27" i="2"/>
  <c r="H30" i="2" s="1"/>
  <c r="F44" i="7"/>
  <c r="C33" i="10"/>
  <c r="J6" i="7"/>
  <c r="E19" i="4"/>
  <c r="C19" i="4"/>
  <c r="H38" i="1"/>
  <c r="G39" i="1"/>
  <c r="G6" i="4"/>
  <c r="G41" i="7"/>
  <c r="G43" i="7" s="1"/>
  <c r="J44" i="7" s="1"/>
  <c r="G34" i="7"/>
  <c r="G36" i="7" s="1"/>
  <c r="I37" i="7" s="1"/>
  <c r="J35" i="7" s="1"/>
  <c r="I8" i="9"/>
  <c r="G18" i="3"/>
  <c r="F37" i="7"/>
  <c r="C17" i="10"/>
  <c r="C19" i="10" s="1"/>
  <c r="E14" i="7" l="1"/>
  <c r="E17" i="7" s="1"/>
  <c r="D18" i="7"/>
  <c r="K30" i="7"/>
  <c r="K9" i="3"/>
  <c r="L29" i="7"/>
  <c r="H8" i="7"/>
  <c r="M63" i="7"/>
  <c r="M57" i="7"/>
  <c r="M5" i="7"/>
  <c r="N4" i="1"/>
  <c r="M10" i="1"/>
  <c r="M11" i="1"/>
  <c r="C18" i="10"/>
  <c r="C22" i="10" s="1"/>
  <c r="J5" i="9"/>
  <c r="C32" i="10"/>
  <c r="K7" i="2"/>
  <c r="J15" i="4"/>
  <c r="J18" i="1"/>
  <c r="J20" i="1"/>
  <c r="J16" i="1"/>
  <c r="C19" i="5"/>
  <c r="D7" i="6" s="1"/>
  <c r="I38" i="1"/>
  <c r="H6" i="4"/>
  <c r="H39" i="1"/>
  <c r="H7" i="4"/>
  <c r="J66" i="7"/>
  <c r="K64" i="7" s="1"/>
  <c r="K8" i="2"/>
  <c r="J70" i="7" s="1"/>
  <c r="J22" i="4"/>
  <c r="E33" i="10"/>
  <c r="L6" i="7"/>
  <c r="J48" i="7"/>
  <c r="K16" i="2"/>
  <c r="J7" i="9" s="1"/>
  <c r="J22" i="3"/>
  <c r="J50" i="7" s="1"/>
  <c r="J51" i="7" s="1"/>
  <c r="J59" i="7"/>
  <c r="K56" i="7" s="1"/>
  <c r="K7" i="7"/>
  <c r="I44" i="7"/>
  <c r="J12" i="3"/>
  <c r="G37" i="7"/>
  <c r="H37" i="7"/>
  <c r="E33" i="2"/>
  <c r="F29" i="2"/>
  <c r="F31" i="2" s="1"/>
  <c r="L12" i="1"/>
  <c r="K12" i="2"/>
  <c r="J10" i="3"/>
  <c r="K65" i="7" l="1"/>
  <c r="K26" i="3"/>
  <c r="L9" i="2" s="1"/>
  <c r="K71" i="7" s="1"/>
  <c r="L14" i="1"/>
  <c r="L15" i="1"/>
  <c r="C28" i="10"/>
  <c r="J22" i="1"/>
  <c r="J26" i="1"/>
  <c r="J21" i="1"/>
  <c r="J16" i="4" s="1"/>
  <c r="C57" i="10"/>
  <c r="C42" i="10"/>
  <c r="G57" i="10"/>
  <c r="F57" i="10"/>
  <c r="E57" i="10"/>
  <c r="D57" i="10"/>
  <c r="K8" i="7"/>
  <c r="K19" i="1"/>
  <c r="K20" i="2"/>
  <c r="F33" i="2"/>
  <c r="G29" i="2"/>
  <c r="G31" i="2" s="1"/>
  <c r="L30" i="7"/>
  <c r="M29" i="7"/>
  <c r="L9" i="3"/>
  <c r="K58" i="7"/>
  <c r="K24" i="3"/>
  <c r="K10" i="3"/>
  <c r="L12" i="2"/>
  <c r="K9" i="7"/>
  <c r="M12" i="1"/>
  <c r="J38" i="1"/>
  <c r="I39" i="1"/>
  <c r="I7" i="4"/>
  <c r="I6" i="4"/>
  <c r="N5" i="7"/>
  <c r="N63" i="7"/>
  <c r="N10" i="1"/>
  <c r="N11" i="1"/>
  <c r="N57" i="7"/>
  <c r="J13" i="3"/>
  <c r="J14" i="3" s="1"/>
  <c r="K10" i="2"/>
  <c r="J72" i="7" s="1"/>
  <c r="J73" i="7" s="1"/>
  <c r="J52" i="7"/>
  <c r="K49" i="7" s="1"/>
  <c r="M6" i="7"/>
  <c r="F33" i="10"/>
  <c r="F14" i="7"/>
  <c r="F17" i="7" s="1"/>
  <c r="E18" i="7"/>
  <c r="C34" i="10" l="1"/>
  <c r="J6" i="9"/>
  <c r="J41" i="7"/>
  <c r="J42" i="7" s="1"/>
  <c r="J34" i="7"/>
  <c r="J36" i="7" s="1"/>
  <c r="L4" i="7"/>
  <c r="K20" i="3"/>
  <c r="M14" i="1"/>
  <c r="M15" i="1"/>
  <c r="F18" i="7"/>
  <c r="G14" i="7"/>
  <c r="G17" i="7" s="1"/>
  <c r="G33" i="2"/>
  <c r="H29" i="2"/>
  <c r="H31" i="2" s="1"/>
  <c r="L10" i="3"/>
  <c r="M12" i="2"/>
  <c r="M30" i="7"/>
  <c r="N29" i="7" s="1"/>
  <c r="M9" i="3"/>
  <c r="J27" i="1"/>
  <c r="J29" i="1"/>
  <c r="J30" i="1" s="1"/>
  <c r="C29" i="10" s="1"/>
  <c r="G33" i="10"/>
  <c r="N6" i="7"/>
  <c r="L8" i="2"/>
  <c r="K70" i="7" s="1"/>
  <c r="K22" i="4"/>
  <c r="C30" i="10"/>
  <c r="C31" i="10" s="1"/>
  <c r="C35" i="10" s="1"/>
  <c r="C56" i="10" s="1"/>
  <c r="C58" i="10" s="1"/>
  <c r="L15" i="4"/>
  <c r="L16" i="1"/>
  <c r="L18" i="1"/>
  <c r="K21" i="3"/>
  <c r="L17" i="2" s="1"/>
  <c r="C73" i="10"/>
  <c r="F73" i="10" s="1"/>
  <c r="K38" i="1"/>
  <c r="L38" i="1" s="1"/>
  <c r="M38" i="1" s="1"/>
  <c r="N38" i="1" s="1"/>
  <c r="N12" i="1"/>
  <c r="K59" i="7"/>
  <c r="L56" i="7" s="1"/>
  <c r="D32" i="10"/>
  <c r="K5" i="9"/>
  <c r="L7" i="2"/>
  <c r="K20" i="1"/>
  <c r="K66" i="7"/>
  <c r="L64" i="7" s="1"/>
  <c r="N30" i="7" l="1"/>
  <c r="N9" i="3"/>
  <c r="L7" i="7"/>
  <c r="L20" i="2"/>
  <c r="I29" i="2"/>
  <c r="I31" i="2" s="1"/>
  <c r="H33" i="2"/>
  <c r="K48" i="7"/>
  <c r="L16" i="2"/>
  <c r="K7" i="9" s="1"/>
  <c r="K22" i="3"/>
  <c r="K50" i="7" s="1"/>
  <c r="K51" i="7" s="1"/>
  <c r="L58" i="7"/>
  <c r="L24" i="3"/>
  <c r="J33" i="1"/>
  <c r="J37" i="7"/>
  <c r="K35" i="7" s="1"/>
  <c r="J43" i="7"/>
  <c r="J16" i="3"/>
  <c r="K11" i="2" s="1"/>
  <c r="N14" i="1"/>
  <c r="N15" i="1"/>
  <c r="M10" i="3"/>
  <c r="N12" i="2"/>
  <c r="L65" i="7"/>
  <c r="L26" i="3"/>
  <c r="M9" i="2" s="1"/>
  <c r="L71" i="7" s="1"/>
  <c r="H14" i="7"/>
  <c r="H17" i="7" s="1"/>
  <c r="G18" i="7"/>
  <c r="D28" i="10"/>
  <c r="K22" i="1"/>
  <c r="K26" i="1"/>
  <c r="K21" i="1"/>
  <c r="K16" i="4" s="1"/>
  <c r="M15" i="4"/>
  <c r="M16" i="1"/>
  <c r="M18" i="1"/>
  <c r="J29" i="2" l="1"/>
  <c r="J31" i="2" s="1"/>
  <c r="I33" i="2"/>
  <c r="H18" i="7"/>
  <c r="I14" i="7"/>
  <c r="I17" i="7" s="1"/>
  <c r="C48" i="10"/>
  <c r="C50" i="10" s="1"/>
  <c r="G60" i="10" s="1"/>
  <c r="N15" i="4"/>
  <c r="N16" i="1"/>
  <c r="B6" i="11" s="1"/>
  <c r="N18" i="1"/>
  <c r="K44" i="7"/>
  <c r="K12" i="3"/>
  <c r="D30" i="10"/>
  <c r="D31" i="10" s="1"/>
  <c r="J15" i="7"/>
  <c r="J4" i="9"/>
  <c r="J8" i="9" s="1"/>
  <c r="J6" i="4"/>
  <c r="K6" i="2"/>
  <c r="K13" i="2" s="1"/>
  <c r="C6" i="5"/>
  <c r="J39" i="1"/>
  <c r="J23" i="7"/>
  <c r="J24" i="7" s="1"/>
  <c r="K25" i="2" s="1"/>
  <c r="J36" i="1"/>
  <c r="J34" i="1"/>
  <c r="J35" i="1"/>
  <c r="J17" i="4" s="1"/>
  <c r="M8" i="2"/>
  <c r="L70" i="7" s="1"/>
  <c r="L22" i="4"/>
  <c r="L59" i="7"/>
  <c r="M56" i="7" s="1"/>
  <c r="L8" i="7"/>
  <c r="L19" i="1"/>
  <c r="K52" i="7"/>
  <c r="L49" i="7" s="1"/>
  <c r="L9" i="7"/>
  <c r="N10" i="3"/>
  <c r="O12" i="2"/>
  <c r="K29" i="1"/>
  <c r="K30" i="1" s="1"/>
  <c r="D29" i="10" s="1"/>
  <c r="K27" i="1"/>
  <c r="K33" i="1"/>
  <c r="L66" i="7"/>
  <c r="M64" i="7" s="1"/>
  <c r="C20" i="5" l="1"/>
  <c r="D8" i="6" s="1"/>
  <c r="D10" i="6" s="1"/>
  <c r="C15" i="6" s="1"/>
  <c r="G6" i="5"/>
  <c r="K13" i="3"/>
  <c r="K14" i="3" s="1"/>
  <c r="L10" i="2"/>
  <c r="K72" i="7" s="1"/>
  <c r="K73" i="7" s="1"/>
  <c r="L21" i="3"/>
  <c r="M17" i="2" s="1"/>
  <c r="K15" i="7"/>
  <c r="K4" i="9"/>
  <c r="K6" i="4"/>
  <c r="L6" i="2"/>
  <c r="K36" i="1"/>
  <c r="K23" i="7"/>
  <c r="K24" i="7" s="1"/>
  <c r="L25" i="2" s="1"/>
  <c r="K39" i="1"/>
  <c r="K34" i="1"/>
  <c r="K35" i="1"/>
  <c r="K17" i="4" s="1"/>
  <c r="E32" i="10"/>
  <c r="L5" i="9"/>
  <c r="M7" i="2"/>
  <c r="L20" i="1"/>
  <c r="I18" i="7"/>
  <c r="J14" i="7"/>
  <c r="J17" i="7" s="1"/>
  <c r="M65" i="7"/>
  <c r="M26" i="3"/>
  <c r="N9" i="2" s="1"/>
  <c r="M71" i="7" s="1"/>
  <c r="M4" i="7"/>
  <c r="L20" i="3"/>
  <c r="J16" i="7"/>
  <c r="K27" i="2"/>
  <c r="K30" i="2" s="1"/>
  <c r="M58" i="7"/>
  <c r="M24" i="3"/>
  <c r="K29" i="2"/>
  <c r="J33" i="2"/>
  <c r="B10" i="11" s="1"/>
  <c r="K31" i="2" l="1"/>
  <c r="M7" i="7"/>
  <c r="M9" i="7" s="1"/>
  <c r="N8" i="2"/>
  <c r="M70" i="7" s="1"/>
  <c r="M22" i="4"/>
  <c r="D34" i="10"/>
  <c r="D35" i="10" s="1"/>
  <c r="D56" i="10" s="1"/>
  <c r="D58" i="10" s="1"/>
  <c r="K6" i="9"/>
  <c r="M59" i="7"/>
  <c r="N56" i="7" s="1"/>
  <c r="K41" i="7"/>
  <c r="K42" i="7" s="1"/>
  <c r="K34" i="7"/>
  <c r="K36" i="7" s="1"/>
  <c r="M66" i="7"/>
  <c r="N64" i="7" s="1"/>
  <c r="J6" i="3"/>
  <c r="J7" i="3" s="1"/>
  <c r="K14" i="7"/>
  <c r="K8" i="9"/>
  <c r="L22" i="1"/>
  <c r="E28" i="10"/>
  <c r="L26" i="1"/>
  <c r="L21" i="1"/>
  <c r="L16" i="4" s="1"/>
  <c r="L48" i="7"/>
  <c r="M16" i="2"/>
  <c r="L7" i="9" s="1"/>
  <c r="L22" i="3"/>
  <c r="L50" i="7" s="1"/>
  <c r="L51" i="7" s="1"/>
  <c r="K16" i="7"/>
  <c r="L27" i="2"/>
  <c r="N4" i="7" l="1"/>
  <c r="M20" i="3"/>
  <c r="L27" i="1"/>
  <c r="L29" i="1"/>
  <c r="L30" i="1" s="1"/>
  <c r="E29" i="10" s="1"/>
  <c r="L33" i="1"/>
  <c r="E30" i="10"/>
  <c r="E31" i="10" s="1"/>
  <c r="K37" i="7"/>
  <c r="L35" i="7" s="1"/>
  <c r="L52" i="7"/>
  <c r="M49" i="7" s="1"/>
  <c r="K43" i="7"/>
  <c r="K16" i="3"/>
  <c r="L11" i="2" s="1"/>
  <c r="L13" i="2" s="1"/>
  <c r="L30" i="2" s="1"/>
  <c r="N58" i="7"/>
  <c r="N59" i="7" s="1"/>
  <c r="N24" i="3"/>
  <c r="M20" i="2"/>
  <c r="J18" i="7"/>
  <c r="L29" i="2"/>
  <c r="J25" i="3"/>
  <c r="K33" i="2"/>
  <c r="K17" i="7"/>
  <c r="M8" i="7"/>
  <c r="M19" i="1"/>
  <c r="J7" i="4"/>
  <c r="C8" i="5"/>
  <c r="G8" i="5" s="1"/>
  <c r="J18" i="3"/>
  <c r="J18" i="4"/>
  <c r="N65" i="7"/>
  <c r="N66" i="7" s="1"/>
  <c r="N26" i="3"/>
  <c r="O9" i="2" s="1"/>
  <c r="N71" i="7" s="1"/>
  <c r="J11" i="4" l="1"/>
  <c r="J27" i="3"/>
  <c r="M21" i="3"/>
  <c r="N17" i="2" s="1"/>
  <c r="M48" i="7"/>
  <c r="N16" i="2"/>
  <c r="M7" i="9" s="1"/>
  <c r="M22" i="3"/>
  <c r="M50" i="7" s="1"/>
  <c r="M51" i="7" s="1"/>
  <c r="L14" i="7"/>
  <c r="K6" i="3"/>
  <c r="K7" i="3" s="1"/>
  <c r="L44" i="7"/>
  <c r="L31" i="2"/>
  <c r="L4" i="9"/>
  <c r="L23" i="7"/>
  <c r="L24" i="7" s="1"/>
  <c r="M25" i="2" s="1"/>
  <c r="L36" i="1"/>
  <c r="L34" i="1"/>
  <c r="L39" i="1"/>
  <c r="L6" i="4"/>
  <c r="M6" i="2"/>
  <c r="L15" i="7"/>
  <c r="L35" i="1"/>
  <c r="L17" i="4" s="1"/>
  <c r="F32" i="10"/>
  <c r="M5" i="9"/>
  <c r="N7" i="2"/>
  <c r="M20" i="1"/>
  <c r="N22" i="4"/>
  <c r="O8" i="2"/>
  <c r="N70" i="7" s="1"/>
  <c r="L12" i="3"/>
  <c r="N7" i="7"/>
  <c r="M52" i="7" l="1"/>
  <c r="N49" i="7" s="1"/>
  <c r="N8" i="7"/>
  <c r="N19" i="1"/>
  <c r="K25" i="3"/>
  <c r="L33" i="2"/>
  <c r="M29" i="2"/>
  <c r="F28" i="10"/>
  <c r="M26" i="1"/>
  <c r="M21" i="1"/>
  <c r="M16" i="4" s="1"/>
  <c r="M22" i="1"/>
  <c r="N9" i="7"/>
  <c r="N20" i="3" s="1"/>
  <c r="L13" i="3"/>
  <c r="L14" i="3" s="1"/>
  <c r="M10" i="2"/>
  <c r="L72" i="7" s="1"/>
  <c r="L73" i="7" s="1"/>
  <c r="N20" i="2"/>
  <c r="K7" i="4"/>
  <c r="K18" i="3"/>
  <c r="K18" i="4"/>
  <c r="J31" i="3"/>
  <c r="J10" i="4"/>
  <c r="L17" i="7"/>
  <c r="L16" i="7"/>
  <c r="M27" i="2"/>
  <c r="K18" i="7"/>
  <c r="J32" i="3" l="1"/>
  <c r="C7" i="5"/>
  <c r="G7" i="5" s="1"/>
  <c r="J19" i="4"/>
  <c r="M14" i="7"/>
  <c r="L18" i="7"/>
  <c r="L6" i="3"/>
  <c r="L7" i="3" s="1"/>
  <c r="G32" i="10"/>
  <c r="N5" i="9"/>
  <c r="O7" i="2"/>
  <c r="N20" i="1"/>
  <c r="N48" i="7"/>
  <c r="O16" i="2"/>
  <c r="N7" i="9" s="1"/>
  <c r="M27" i="1"/>
  <c r="M29" i="1"/>
  <c r="M30" i="1" s="1"/>
  <c r="F29" i="10" s="1"/>
  <c r="F30" i="10" s="1"/>
  <c r="F31" i="10" s="1"/>
  <c r="M33" i="1"/>
  <c r="N21" i="3"/>
  <c r="O17" i="2" s="1"/>
  <c r="O20" i="2" s="1"/>
  <c r="L41" i="7"/>
  <c r="L42" i="7" s="1"/>
  <c r="L34" i="7"/>
  <c r="L36" i="7" s="1"/>
  <c r="K11" i="4"/>
  <c r="K27" i="3"/>
  <c r="E34" i="10"/>
  <c r="E35" i="10" s="1"/>
  <c r="E56" i="10" s="1"/>
  <c r="E58" i="10" s="1"/>
  <c r="L6" i="9"/>
  <c r="L8" i="9" s="1"/>
  <c r="K10" i="4" l="1"/>
  <c r="K31" i="3"/>
  <c r="L7" i="4"/>
  <c r="L18" i="4"/>
  <c r="M15" i="7"/>
  <c r="M23" i="7"/>
  <c r="M24" i="7" s="1"/>
  <c r="N25" i="2" s="1"/>
  <c r="M36" i="1"/>
  <c r="M34" i="1"/>
  <c r="M39" i="1"/>
  <c r="M4" i="9"/>
  <c r="N6" i="2"/>
  <c r="M35" i="1"/>
  <c r="M17" i="4" s="1"/>
  <c r="M6" i="4"/>
  <c r="L37" i="7"/>
  <c r="M35" i="7" s="1"/>
  <c r="L43" i="7"/>
  <c r="L16" i="3"/>
  <c r="M11" i="2" s="1"/>
  <c r="M13" i="2" s="1"/>
  <c r="M30" i="2" s="1"/>
  <c r="M31" i="2" s="1"/>
  <c r="N22" i="3"/>
  <c r="N50" i="7" s="1"/>
  <c r="N51" i="7" s="1"/>
  <c r="N52" i="7" s="1"/>
  <c r="G28" i="10"/>
  <c r="N26" i="1"/>
  <c r="N22" i="1"/>
  <c r="B7" i="11" s="1"/>
  <c r="N21" i="1"/>
  <c r="N16" i="4" s="1"/>
  <c r="N29" i="2" l="1"/>
  <c r="L25" i="3"/>
  <c r="M16" i="7"/>
  <c r="M17" i="7" s="1"/>
  <c r="N27" i="2"/>
  <c r="L18" i="3"/>
  <c r="M12" i="3"/>
  <c r="M44" i="7"/>
  <c r="K32" i="3"/>
  <c r="K19" i="4"/>
  <c r="N29" i="1"/>
  <c r="N30" i="1" s="1"/>
  <c r="G29" i="10" s="1"/>
  <c r="N27" i="1"/>
  <c r="N33" i="1"/>
  <c r="G30" i="10"/>
  <c r="G31" i="10" s="1"/>
  <c r="N14" i="7" l="1"/>
  <c r="M6" i="3"/>
  <c r="M7" i="3" s="1"/>
  <c r="L27" i="3"/>
  <c r="L11" i="4"/>
  <c r="M33" i="2"/>
  <c r="N4" i="9"/>
  <c r="N6" i="4"/>
  <c r="N15" i="7"/>
  <c r="N39" i="1"/>
  <c r="N23" i="7"/>
  <c r="N24" i="7" s="1"/>
  <c r="O25" i="2" s="1"/>
  <c r="O6" i="2"/>
  <c r="N35" i="1"/>
  <c r="N17" i="4" s="1"/>
  <c r="N36" i="1"/>
  <c r="B8" i="11" s="1"/>
  <c r="N34" i="1"/>
  <c r="N10" i="2"/>
  <c r="M13" i="3"/>
  <c r="M14" i="3" s="1"/>
  <c r="N16" i="7" l="1"/>
  <c r="O27" i="2"/>
  <c r="M72" i="7"/>
  <c r="M73" i="7" s="1"/>
  <c r="M34" i="7"/>
  <c r="M36" i="7" s="1"/>
  <c r="M41" i="7"/>
  <c r="M42" i="7" s="1"/>
  <c r="L10" i="4"/>
  <c r="L31" i="3"/>
  <c r="M7" i="4"/>
  <c r="M18" i="4"/>
  <c r="M18" i="7"/>
  <c r="N17" i="7"/>
  <c r="F34" i="10" l="1"/>
  <c r="F35" i="10" s="1"/>
  <c r="F56" i="10" s="1"/>
  <c r="F58" i="10" s="1"/>
  <c r="M6" i="9"/>
  <c r="M8" i="9" s="1"/>
  <c r="N18" i="7"/>
  <c r="B11" i="11" s="1"/>
  <c r="B4" i="11" s="1"/>
  <c r="N6" i="3"/>
  <c r="N7" i="3" s="1"/>
  <c r="M43" i="7"/>
  <c r="N44" i="7" s="1"/>
  <c r="M16" i="3"/>
  <c r="M37" i="7"/>
  <c r="N35" i="7" s="1"/>
  <c r="L32" i="3"/>
  <c r="L19" i="4"/>
  <c r="N12" i="3" l="1"/>
  <c r="N7" i="4"/>
  <c r="N18" i="4"/>
  <c r="N11" i="2"/>
  <c r="N13" i="2" s="1"/>
  <c r="N30" i="2" s="1"/>
  <c r="N31" i="2" s="1"/>
  <c r="M18" i="3"/>
  <c r="M25" i="3" l="1"/>
  <c r="O29" i="2"/>
  <c r="O10" i="2"/>
  <c r="N13" i="3"/>
  <c r="N14" i="3" s="1"/>
  <c r="N34" i="7" l="1"/>
  <c r="N36" i="7" s="1"/>
  <c r="N37" i="7" s="1"/>
  <c r="N41" i="7"/>
  <c r="N42" i="7" s="1"/>
  <c r="N72" i="7"/>
  <c r="N73" i="7" s="1"/>
  <c r="M27" i="3"/>
  <c r="M11" i="4"/>
  <c r="N33" i="2"/>
  <c r="G34" i="10" l="1"/>
  <c r="G35" i="10" s="1"/>
  <c r="N6" i="9"/>
  <c r="N8" i="9" s="1"/>
  <c r="M10" i="4"/>
  <c r="M31" i="3"/>
  <c r="N43" i="7"/>
  <c r="N16" i="3"/>
  <c r="O11" i="2" l="1"/>
  <c r="O13" i="2" s="1"/>
  <c r="O30" i="2" s="1"/>
  <c r="O31" i="2" s="1"/>
  <c r="N18" i="3"/>
  <c r="M32" i="3"/>
  <c r="M19" i="4"/>
  <c r="C40" i="10"/>
  <c r="C43" i="10" s="1"/>
  <c r="G59" i="10" s="1"/>
  <c r="G56" i="10"/>
  <c r="G58" i="10" s="1"/>
  <c r="H58" i="10" s="1"/>
  <c r="H62" i="10" s="1"/>
  <c r="F66" i="10" s="1"/>
  <c r="F69" i="10" s="1"/>
  <c r="F72" i="10" s="1"/>
  <c r="F74" i="10" s="1"/>
  <c r="H61" i="10" l="1"/>
  <c r="N25" i="3"/>
  <c r="N11" i="4" l="1"/>
  <c r="N27" i="3"/>
  <c r="O33" i="2"/>
  <c r="C82" i="10"/>
  <c r="C66" i="10"/>
  <c r="C69" i="10" s="1"/>
  <c r="D5" i="6" l="1"/>
  <c r="C72" i="10"/>
  <c r="C74" i="10" s="1"/>
  <c r="N10" i="4"/>
  <c r="N31" i="3"/>
  <c r="N32" i="3" l="1"/>
  <c r="N19" i="4"/>
  <c r="D6" i="6"/>
  <c r="D9" i="6"/>
  <c r="C14" i="6" s="1"/>
  <c r="C16"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700-000001000000}">
      <text>
        <r>
          <rPr>
            <sz val="10"/>
            <rFont val="Arial"/>
            <family val="2"/>
          </rPr>
          <t>Source: TradingView, beta as of 19 June 2026 (Friday close)</t>
        </r>
      </text>
    </comment>
  </commentList>
</comments>
</file>

<file path=xl/sharedStrings.xml><?xml version="1.0" encoding="utf-8"?>
<sst xmlns="http://schemas.openxmlformats.org/spreadsheetml/2006/main" count="674" uniqueCount="353">
  <si>
    <t>YEAR</t>
  </si>
  <si>
    <t>ACTUAL</t>
  </si>
  <si>
    <t>FOCASTED</t>
  </si>
  <si>
    <t>ASSUMED VALUES</t>
  </si>
  <si>
    <t>REASONING FOR ASSUMPTION</t>
  </si>
  <si>
    <t>Revenue</t>
  </si>
  <si>
    <t>VIEW ASSUMPTIONS AND REASONING FILE</t>
  </si>
  <si>
    <t>Growth</t>
  </si>
  <si>
    <t>COGS</t>
  </si>
  <si>
    <t>COGS: ₹0; SERVICE-BASED OPERATIONS.</t>
  </si>
  <si>
    <t>Gross Margins</t>
  </si>
  <si>
    <t>Change in Inventory</t>
  </si>
  <si>
    <t xml:space="preserve">NO INVENTORY </t>
  </si>
  <si>
    <t>Employee Benefit Expenses</t>
  </si>
  <si>
    <t>EMPLOYEE BENEFIT EXPENSES (% OF REVENUE): 3.5%; ASSUMED STABLE AT RECENT NORMALIZED HISTORICAL AVERAGE (FY2023-FY2025).</t>
  </si>
  <si>
    <t>Other Expenses</t>
  </si>
  <si>
    <t>Total Operating expenses</t>
  </si>
  <si>
    <t>SUM OF ABOVE</t>
  </si>
  <si>
    <t>Growth IN Operating Expenses</t>
  </si>
  <si>
    <t>EBITDA / Operating Profit</t>
  </si>
  <si>
    <t>Revenue - Total Operating expenses</t>
  </si>
  <si>
    <t>ERROR CHECK EBITDA</t>
  </si>
  <si>
    <t>OPM</t>
  </si>
  <si>
    <t>D&amp;A</t>
  </si>
  <si>
    <t>VIEW FORCAST SCHEDULES</t>
  </si>
  <si>
    <t xml:space="preserve">EBIT </t>
  </si>
  <si>
    <t>EBITDA -D&amp;A</t>
  </si>
  <si>
    <t>EBIT Margins</t>
  </si>
  <si>
    <t>ERROR CHECK EBIT</t>
  </si>
  <si>
    <t>Other Income</t>
  </si>
  <si>
    <t>This rate is based on the average historical year-over-year growth of "Other Income" from FY2020-FY2025, reflecting the recent trend in this revenue stream.</t>
  </si>
  <si>
    <t>Contribution to Core SGF</t>
  </si>
  <si>
    <t>PBT</t>
  </si>
  <si>
    <t>PBT Margins</t>
  </si>
  <si>
    <t>Tax</t>
  </si>
  <si>
    <t>The 25% tax rate forecast is a stable, long-term assumption aligned with the company's FY2025 rate and typical for large, profitable Indian companies. This rate accounts for the standard 25% corporate tax base, surcharges, and a 4% cess, and is considered a simplified yet robust forecast despite the option for a lower 22% rate under Section 115BAA, which requires forgoing deductions.</t>
  </si>
  <si>
    <t>Tax %</t>
  </si>
  <si>
    <t xml:space="preserve">Loss from Discounted Operations </t>
  </si>
  <si>
    <t>PAT</t>
  </si>
  <si>
    <t>NPM</t>
  </si>
  <si>
    <t>ERROR CHECK PAT</t>
  </si>
  <si>
    <t>Shares Outstading</t>
  </si>
  <si>
    <t>EPS</t>
  </si>
  <si>
    <t>notes</t>
  </si>
  <si>
    <t>Cash from Operations</t>
  </si>
  <si>
    <t>Net Income / PAT</t>
  </si>
  <si>
    <t>from  income statement</t>
  </si>
  <si>
    <t>Change in Trade Receivables</t>
  </si>
  <si>
    <t xml:space="preserve"> prior year -current year</t>
  </si>
  <si>
    <t>Change in Other Current Assets</t>
  </si>
  <si>
    <t>Change in Other Current Liabilities</t>
  </si>
  <si>
    <t>current year - prior year</t>
  </si>
  <si>
    <t>Change in Settlement Guarantee Fund [SGF]</t>
  </si>
  <si>
    <t>Change in other Non-Current Liabilities</t>
  </si>
  <si>
    <t>Total Cash from Operations</t>
  </si>
  <si>
    <t>Cash from Investing</t>
  </si>
  <si>
    <t>Capex</t>
  </si>
  <si>
    <t>[(Ending Fixed Assets for Current Year - Ending Fixed Assets for Prior Year) + D&amp;A for Current Year] [negative]</t>
  </si>
  <si>
    <t>Change in Other Non-Current Assets</t>
  </si>
  <si>
    <t>-(Ending Other Non-Current Assets for Current Year - Ending Other Non-Current Assets for Prior Year)</t>
  </si>
  <si>
    <t>Changein Assets Classified as held for sale</t>
  </si>
  <si>
    <t>-(Ending Assets Held for Sale for Current Year - Ending Assets Held for Sale for Prior Year)</t>
  </si>
  <si>
    <t>Total Cash from Investing</t>
  </si>
  <si>
    <t>Cash from Finance</t>
  </si>
  <si>
    <t>Net Change in Debt/Borrowings</t>
  </si>
  <si>
    <t>Ending "Borrowings" - Beginning "Borrowings"</t>
  </si>
  <si>
    <t>Net Cash from Equity Issuances/Repurchases</t>
  </si>
  <si>
    <t>(Cash Proceeds from New Shares Issued - Cash Paid for Shares Repurchased)</t>
  </si>
  <si>
    <t>Dividends Paid</t>
  </si>
  <si>
    <t>PAT - (Ending Total Equity - Beginning Total Equity) [due to prefrence shares being absent] [negative]</t>
  </si>
  <si>
    <t>Values from Forcast Schedules</t>
  </si>
  <si>
    <t>The historical dividends paid for 2025 were adjusted to exclude the ₹198 crore non-cash capital transaction related to the conversion of preferred shares into common equity. This ensures the dividends accurately reflect the operational outflow and that the Reserves forecast reconciles.</t>
  </si>
  <si>
    <t>Capital Restructuring.</t>
  </si>
  <si>
    <t>Total Cash from Finance</t>
  </si>
  <si>
    <t>Beginning Cash</t>
  </si>
  <si>
    <t>Change in Cash</t>
  </si>
  <si>
    <t>Ending cash</t>
  </si>
  <si>
    <t>ERROR CHECK CASH FLOW</t>
  </si>
  <si>
    <t>Equity Capital</t>
  </si>
  <si>
    <t>Share premium</t>
  </si>
  <si>
    <t>Reserves</t>
  </si>
  <si>
    <t>Total Equity</t>
  </si>
  <si>
    <t>Other Non-current Liabilities</t>
  </si>
  <si>
    <t>Total Non-Current  Liabilities</t>
  </si>
  <si>
    <t>Other Current Liabilities</t>
  </si>
  <si>
    <t>Total Current Liabilities</t>
  </si>
  <si>
    <t>Total Liabilities</t>
  </si>
  <si>
    <t>Settlement Gaurantee Fund (SGF)</t>
  </si>
  <si>
    <t>Equity + Liabilities</t>
  </si>
  <si>
    <t>Fixed Assets</t>
  </si>
  <si>
    <t>Other Non Current Assets</t>
  </si>
  <si>
    <t>Total Non-Current assets</t>
  </si>
  <si>
    <t>Trade Receivables</t>
  </si>
  <si>
    <t>Cash and Cash Equivalent</t>
  </si>
  <si>
    <t>Other Current assets</t>
  </si>
  <si>
    <t>Total Current Assets</t>
  </si>
  <si>
    <t>Assets classified as held for sale</t>
  </si>
  <si>
    <t>Total Assets</t>
  </si>
  <si>
    <t>ERROR CHECK  ASSET - [EQUITY + LIABILITIES]</t>
  </si>
  <si>
    <t>RATIOS / YEAR</t>
  </si>
  <si>
    <t>Formulas</t>
  </si>
  <si>
    <t>Per share data</t>
  </si>
  <si>
    <t>Eps</t>
  </si>
  <si>
    <t>Net Income / Total Shares Outstanding</t>
  </si>
  <si>
    <t>Bvps</t>
  </si>
  <si>
    <t>Shareholder's Equity / Total Shares Outstanding</t>
  </si>
  <si>
    <t>Liquidity ratios</t>
  </si>
  <si>
    <t>Current ratio</t>
  </si>
  <si>
    <t>Current Assets / Current Liabilities</t>
  </si>
  <si>
    <t>Quick ratio</t>
  </si>
  <si>
    <t>(Current Assets - Inventory) / Current Liabilities</t>
  </si>
  <si>
    <t>Profitability ratio</t>
  </si>
  <si>
    <t>Gross profit margin</t>
  </si>
  <si>
    <t>Gross Profit / Revenue</t>
  </si>
  <si>
    <t>Operating profit margin  or ebitda margin</t>
  </si>
  <si>
    <t>Operating Income / Revenue</t>
  </si>
  <si>
    <t>Ebit margin</t>
  </si>
  <si>
    <t>EBIT / Revenue</t>
  </si>
  <si>
    <t>Net profit margin</t>
  </si>
  <si>
    <t>Net Income / Revenue</t>
  </si>
  <si>
    <t>Roe</t>
  </si>
  <si>
    <t>Net Income / Shareholder's Equity</t>
  </si>
  <si>
    <t>Roa</t>
  </si>
  <si>
    <t>Net Income / Total Assets</t>
  </si>
  <si>
    <t>Efficiency Ratios</t>
  </si>
  <si>
    <t>Days Sales Outstanding (DSO):</t>
  </si>
  <si>
    <t>(Accounts Receivable / Revenue) * 365</t>
  </si>
  <si>
    <t>All market data as of the close of business on September 20, 2025</t>
  </si>
  <si>
    <t>Source: Yahoo Finance, as of September 20, 2025</t>
  </si>
  <si>
    <t>Metric</t>
  </si>
  <si>
    <t>NSE (2026  -  Projected)</t>
  </si>
  <si>
    <t>BSE</t>
  </si>
  <si>
    <t>MCX</t>
  </si>
  <si>
    <t>CDSL</t>
  </si>
  <si>
    <t>Median</t>
  </si>
  <si>
    <t>Net Income</t>
  </si>
  <si>
    <t>Totall Assets</t>
  </si>
  <si>
    <t>P/E Ratio (TTM)</t>
  </si>
  <si>
    <t>P/B Ratio</t>
  </si>
  <si>
    <t>EV/Sales</t>
  </si>
  <si>
    <t>EV/EBITDA</t>
  </si>
  <si>
    <t>Net Profit Margin</t>
  </si>
  <si>
    <t>ROE</t>
  </si>
  <si>
    <t>ROA</t>
  </si>
  <si>
    <t>Enterprise Value (EV)  of NSE [CCA]</t>
  </si>
  <si>
    <t>Median EV/EBITDA (from your table) x NSE's Projected EBITDA</t>
  </si>
  <si>
    <t>Equity Value (P/E) Calculation of NSE [CCA]</t>
  </si>
  <si>
    <t>Median P/E×Projected Net Income</t>
  </si>
  <si>
    <t>Final Valuation Summary</t>
  </si>
  <si>
    <t>Valuation Method</t>
  </si>
  <si>
    <t>Valuation Type</t>
  </si>
  <si>
    <t>NSE Value (in ₹ crores)</t>
  </si>
  <si>
    <t>Discounted Cash Flow (DCF)</t>
  </si>
  <si>
    <t>Enterprise Value</t>
  </si>
  <si>
    <t>Final DCF Value = (Perpetuity Growth Case EV + Exit Multiple Case EV) / 2</t>
  </si>
  <si>
    <t>Equity Value</t>
  </si>
  <si>
    <t>Comparable Company Analysis (CCA)</t>
  </si>
  <si>
    <t>Implied Share</t>
  </si>
  <si>
    <t>Equity Value / Shares Outstanding</t>
  </si>
  <si>
    <t>Final Conclusion</t>
  </si>
  <si>
    <t>Value</t>
  </si>
  <si>
    <t>DCF Valuation</t>
  </si>
  <si>
    <t>CCA Valuation</t>
  </si>
  <si>
    <t>Final Target Price (Simple Average)</t>
  </si>
  <si>
    <t>Capex Forcasting</t>
  </si>
  <si>
    <t>Beginning Net Fixed Assets</t>
  </si>
  <si>
    <t>Median of last 6 Historical values</t>
  </si>
  <si>
    <t>Capex as part of Revenue</t>
  </si>
  <si>
    <t>Depreciation &amp; Amortization (D&amp;A) for the forecast period is projected at 33.0% of an average depreciable asset base. This base is calculated as Beginning Net Fixed Assets + (0.5 * CAPEX) to ensure the D&amp;A forecast is fundamentally linked to both the existing asset base and new capital investments. The 0.5 * CAPEX component incorporates a standard mid-year convention, assuming that new assets acquired during the year are, on average, in service for half of that period. The 33.0% rate itself was chosen because it reflects the stable recent historical average of this specific calculation for NSE over the FY2023-FY2025 period, providing a robust, data-driven basis for the forecast.</t>
  </si>
  <si>
    <t>D&amp;A Rate (as % of Avg. Base)</t>
  </si>
  <si>
    <t>Ending Net fixed Assets</t>
  </si>
  <si>
    <t>Reserve  Forcasting</t>
  </si>
  <si>
    <t>Beginning Reserves</t>
  </si>
  <si>
    <t>PLUS: Net Income</t>
  </si>
  <si>
    <t>LESS: Dividends Paid</t>
  </si>
  <si>
    <t>Ending Reserves</t>
  </si>
  <si>
    <t xml:space="preserve">ERROR CHECK RESERVES </t>
  </si>
  <si>
    <t>Dividend Payout Ratio</t>
  </si>
  <si>
    <t>Dividends</t>
  </si>
  <si>
    <t>Payout ratio * PAT</t>
  </si>
  <si>
    <t>Payout Ratio</t>
  </si>
  <si>
    <t>This assumption is based on the average of the company's historical dividend payout ratios from 2020 to 2025, which ranged from 16% to 58%. Using a historical average is a standard, data-driven practice for a base-case model, as it smooths out year-to-year volatility and avoids speculating on future dividend policy. This ensures the model is grounded in the company's past performance and provides a stable basis for the forecast.</t>
  </si>
  <si>
    <t>Other Non-current Liabilities Forcast</t>
  </si>
  <si>
    <t>Forecasted Value=Previous Year′s Value×(1+3−Year Rolling CAGR)</t>
  </si>
  <si>
    <t>3y CAGR</t>
  </si>
  <si>
    <t>3−Year Rolling CAGR=(Value from 3 Years AgoCurrent Year′s Value​)^(1/3)​−1</t>
  </si>
  <si>
    <t>The forecast for Other Non-current Liabilities is based on a rolling 3-year Compound Annual Growth Rate (CAGR). This methodology was selected because the historical values showed a clear, albeit volatile, growth trend. Using a rolling CAGR allows the forecast to remain dynamic and reflect the most recent growth trends without being constrained by a single, static historical growth rate. This assumption implies that the company's non-current liabilities will continue to grow in line with its recent historical performance.</t>
  </si>
  <si>
    <t>Other current Liabilities Forcast</t>
  </si>
  <si>
    <t>Other current Liabilities</t>
  </si>
  <si>
    <t>Forecasted Value = Previous  year avg *  Previous total assets</t>
  </si>
  <si>
    <t>OCL as % of Total Assets</t>
  </si>
  <si>
    <t>3Y AVG</t>
  </si>
  <si>
    <t>avg = (sum of Current 3 years%)/3</t>
  </si>
  <si>
    <t>The forecast for Other Current Liabilities is based on its historical relationship with Total Liabilities, a standard best practice in financial modeling. The forecast assumes Other Current Liabilities will remain a static percentage of Total Liabilities, derived from the average of the last three historical years' percentages. This approach provides a consistent and conservative growth assumption that normalizes the recent volatility and ensures a stable forecast.</t>
  </si>
  <si>
    <t>Settlement Gaurantee Fund (SGF) Forcast</t>
  </si>
  <si>
    <t>Forecasted Value = current year avg * total assets</t>
  </si>
  <si>
    <t>avg = (sum of previous 3 years%)/3</t>
  </si>
  <si>
    <t>The forecast for Settlement Guarantee Fund is based on its logical relationship with Total Liabilities. To account for the historical volatility of this line item, a 3-year rolling average is used as the forecasting assumption. This dynamic approach ensures the model's projections remain responsive to recent trends in the company's financial structure while adhering to financial modeling best practices by avoiding circular references.</t>
  </si>
  <si>
    <t>Other Non Current Assets Forcast</t>
  </si>
  <si>
    <t>Forcasted Value = Previous Year TNCA * Previous year Avg</t>
  </si>
  <si>
    <t>ONCA as % of  TNCA</t>
  </si>
  <si>
    <t>avg = (sum of recent 3y %) / 3</t>
  </si>
  <si>
    <t>The forecast for Other Non-Current Assets is based on its historical relationship with Total Non-Current Assets. Given the line item's nature as a component of the total, the most logical and auditable approach is to project it as a percentage of Total Non-Current Assets. The forecasting assumption is derived from the average of the last three historical percentages, which captures the most recent trends.</t>
  </si>
  <si>
    <t>Trade Receivables Forcast [DSO Method]</t>
  </si>
  <si>
    <t>Forcasted Value = [Current Year Revenue * Previous Year Avg dso] / 365</t>
  </si>
  <si>
    <t>The forecast for Trade Receivables is based on the Days Sales Outstanding (DSO) method, which links receivables to the company's revenue and collection period. To capture recent trends and provide a more dynamic forecast, the DSO assumption is not held static. Instead, it is based on a 3-year rolling average of the company's historical DSO. This approach allows the forecast to evolve with the company's revenue and collection efficiency.</t>
  </si>
  <si>
    <t>DSO</t>
  </si>
  <si>
    <t>DSO  = [ Trade Receivables*365] / Revenue</t>
  </si>
  <si>
    <t>3Y AVG DSO</t>
  </si>
  <si>
    <t>3Y AVG DSO =  (sum of recent 3y DSO) / 3</t>
  </si>
  <si>
    <t xml:space="preserve">Forcasted Value = [Current Year Revenue * Previous Year Avg ] </t>
  </si>
  <si>
    <t>The forecast for Other Current Assets is driven by a strong correlation to Revenue. To account for the historical volatility in this relationship, likely due to external factors, the forecasting assumption is based on a 3-year rolling average of Other Current Assets as a percentage of Revenue. This methodology smooths out short-term fluctuations and bases the forecast on the company's most recent operational trend.</t>
  </si>
  <si>
    <t>OCA as % of Revenue</t>
  </si>
  <si>
    <t>rolling 3y AVG</t>
  </si>
  <si>
    <t>Total Change in Net Working Capital</t>
  </si>
  <si>
    <t>Total Change in Net Working Capital = sum of all changes</t>
  </si>
  <si>
    <t>BETA CALCULATION</t>
  </si>
  <si>
    <t>Company</t>
  </si>
  <si>
    <t>Ticker</t>
  </si>
  <si>
    <t>Levered Beta</t>
  </si>
  <si>
    <t>D/E Ratio</t>
  </si>
  <si>
    <t>Corporate Tax Rate</t>
  </si>
  <si>
    <t>Unlevered Beta</t>
  </si>
  <si>
    <t>B.S.E Ltd.</t>
  </si>
  <si>
    <t>Multi commodity Exchange</t>
  </si>
  <si>
    <t>Central Depository Services</t>
  </si>
  <si>
    <t>Average Unlevered Beta</t>
  </si>
  <si>
    <t>The Beta of 0.23 was derived from a comparable company analysis of BSE, MCX, and CDSL. As the target company is privately held, this methodology provides a reliable estimate of its business risk. These specific companies were chosen as they are publicly traded exchanges or financial market infrastructure companies in India and therefore share similar operational, regulatory, and economic risks with the target company.
[REVISION - beta updated 19 June 2026]
Beta input revised to the current equity beta of the peer set. The levered betas of BSE (1.38), MCX (1.20) and CDSL (1.74) were taken from TradingView as of 19 June 2026 (Friday close), each regressed against the S&amp;P BSE SENSEX per TradingView's published methodology, a broad Indian large-cap benchmark consistent in market basis with the Nifty 50 used in the market risk premium.</t>
  </si>
  <si>
    <t>The analysis was based on the levered betas of the comparable companies, with the Debt-to-Equity (D/E) ratio used to remove financial risk. It was noted that all three companies are all-equity financed, with a D/E ratio of zero, meaning their unlevered beta is equal to their levered beta. A consistent corporate tax rate of 25% was used in the unlevering formula, aligning with income statement projections. The average unlevered beta of 0.23 reflects a conservative and defensible measure of the target company's underlying business risk.
[REVISION - beta updated 19 June 2026]
Unlevering each peer with the Hamada relation βu = βL / [1 + (1 − T)(D/E)] at a 25% tax rate, and noting that all three peers and NSE are effectively debt-free (D/E ≈ 0), the unlevered, average and re-levered betas are identical. The revised average equity beta is 1.44, replacing the earlier 0.23. A beta above 1.0 reflects the operating leverage of exchange businesses, whose revenues move with market trading activity.</t>
  </si>
  <si>
    <t>EBITDA</t>
  </si>
  <si>
    <t>EV/EBITDA Multiple</t>
  </si>
  <si>
    <t>The Enterprise Value (EV) and LTM EBITDA values for the three comparable companies were sourced from public financial data to conduct a Comparable Company Analysis (CCA). This analysis provides a market-based valuation that serves as a sanity check for the DCF model. For each comparable company, the EV/EBITDA multiple was calculated by dividing its Enterprise Value by its LTM EBITDA. This multiple is a standard valuation metric because both EV and EBITDA are capital structure-neutral. The median of these multiples was then selected as the most representative and defensible Exit Multiple for the valuation.</t>
  </si>
  <si>
    <t>Median Multiple</t>
  </si>
  <si>
    <t>The median multiple is used because it provides a more reliable and representative estimate than the average. It is a professional best practice to use the median as it filters out the impact of any outliers in the data, which could otherwise skew the result and lead to a less defensible valuation. This ensures that the Exit Multiple is a conservative and realistic reflection of the peer group's typical valuation. We will use this median to finalize the Exit Multiple Terminal Value.</t>
  </si>
  <si>
    <t xml:space="preserve">FCFF / FCFE </t>
  </si>
  <si>
    <t>FCFF = Net Income + D&amp;A - Change in Net Working Capital - Capex</t>
  </si>
  <si>
    <t>Free Cash Flow to Firm (FCFF) represents the cash flow available to all capital providers of the NSE—both its debt and equity holders—before any debt payments are made. Free Cash Flow to Equity (FCFE), on the other hand, is the cash flow available only to the NSE's equity holders after all debt obligations have been met. The key distinction between these two metrics is the presence of debt. Since the NSE is a debt-free company, there is no interest expense to subtract or net change in borrowings to add, which simplifies the FCFE formula, making it equal to the FCFF. This is why for the NSE, FCFF and FCFE are the same.</t>
  </si>
  <si>
    <t>WACC CALCULATION</t>
  </si>
  <si>
    <t>Cost of Equity Componenets</t>
  </si>
  <si>
    <t>values</t>
  </si>
  <si>
    <t>Risk-free Rate (Rf)</t>
  </si>
  <si>
    <t>The reasoning for using 6.49% as the risk-free rate for this valuation is that it is the most credible and defensible proxy available. This value, as of September 16, 2025, is the yield on the India 10-year Government Bond. We use this specific benchmark because it is issued by the sovereign government, implying it has virtually no risk of default, and its 10-year maturity aligns appropriately with the long-term nature of our DCF analysis. By anchoring our model to this objective and transparent data point, we ensure our WACC calculation is built on sound financial principles and can be easily verified.</t>
  </si>
  <si>
    <t>Market Risk Premium (MRP)</t>
  </si>
  <si>
    <t>"The Market Risk Premium (MRP) of 5.15% is based on the historical methodology. This value is derived by calculating the difference between the long-term annualized return of the Indian market and its corresponding long-term average risk-free rate. The annualized return of the Nifty 50 over its 29-year history is approximately 11.64%, while the long-term average 10-year Indian Government Bond yield is assumed to be 6.49%. This method is a data-driven approach that provides a robust, transparent, and defensible benchmark for the premium required by investors for assuming market risk."</t>
  </si>
  <si>
    <t>Beta (β)</t>
  </si>
  <si>
    <t>The Beta of 0.23 was derived from a comparable company analysis of BSE, MCX, and CDSL. As the target company is privately held, this methodology provides a reliable estimate of its business risk. These companies were selected because they are publicly traded exchanges or financial market infrastructure companies in India and therefore share similar operational, regulatory, and economic risks with the target company. The analysis was based on the levered betas of the comparable companies, with the Debt-to-Equity (D/E) ratio used to remove financial risk. It was noted that all three companies are all-equity financed, with a D/E ratio of zero, meaning their unlevered beta is equal to their levered beta. A consistent corporate tax rate of 25% was used in the unlevering formula, aligning with income statement projections. The average unlevered beta of 0.23 reflects a conservative and defensible measure of the target company's underlying business risk.
[REVISION - beta updated 19 June 2026]
Beta revised to 1.44 (average of BSE 1.38, MCX 1.20, CDSL 1.74), sourced from TradingView as of 19 June 2026 (Friday close), each measured against the S&amp;P BSE SENSEX. As all peers and NSE are debt-free, unlevered = re-levered = 1.44. Full detail on the Beta calculation sheet.</t>
  </si>
  <si>
    <t>Cost of Equity (Re)</t>
  </si>
  <si>
    <t>The Cost of Equity was determined to be 7.67%. This was calculated using the Capital Asset Pricing Model (CAPM), where Re​=Rf​+β×(Rm​−Rf​). The calculation factors in a Risk-Free Rate of 6.49%, a Market Risk Premium of 5.15%, and a Beta of 0.23. This figure represents the return required by the company's equity investors and will be used in the final WACC calculation.
[REVISION - beta updated 19 June 2026]
With the revised beta of 1.44, the Cost of Equity recomputes to 13.91% (Re = 6.49% + 1.44 × 5.15%), replacing the earlier 7.67%.</t>
  </si>
  <si>
    <t>Cost of Debt Componenets</t>
  </si>
  <si>
    <t>Pre-Tax Cost of Debt (Rd​)</t>
  </si>
  <si>
    <t>The Cost of Debt was determined to be 0%. This assumption is based on the company's capital structure, as it has no outstanding interest-bearing debt. Since there are no interest expenses, the pre-tax cost of debt is 0%, and due to the tax shield, the after-tax cost is also 0%. This is a defensible assumption, consistent with the company's historical and projected all-equity financing.</t>
  </si>
  <si>
    <t>The 25% corporate tax rate is consistent with the rate used in the income statement projections.</t>
  </si>
  <si>
    <t>After-Tax Cost of Debt</t>
  </si>
  <si>
    <t>The Cost of Debt was determined to be 0%. This assumption is based on the company's capital structure, as it has no outstanding interest-bearing debt. Since there are no interest expenses, the pre-tax cost of debt is 0%. The after-tax cost of debt, calculated as Pre-Tax Cost of Debt×(1−Corporate Tax Rate), is also 0%. This is a defensible assumption, consistent with the company's historical and projected all-equity financing.</t>
  </si>
  <si>
    <t>Capital Stucture</t>
  </si>
  <si>
    <t>Market Value of Equity (E)</t>
  </si>
  <si>
    <t>The Market Value of Equity was determined to be Rs 30,353.33 crore. Since the company is privately held, its market value is not publicly available. Therefore, the Total Equity from the company's most recent fiscal year-end balance sheet was used as a defensible proxy for its market value.</t>
  </si>
  <si>
    <t>Market Value of Debt (D)</t>
  </si>
  <si>
    <t>The Market Value of Debt was determined to be Rs 0. This is a key assumption based on the company's all-equity financing structure. Since the company has no outstanding interest-bearing debt, its total debt value is zero.</t>
  </si>
  <si>
    <t>Total Capital (V)</t>
  </si>
  <si>
    <t>The Total Capital of the firm was determined to be Rs 30,353.33 crore. This value is the sum of the company's Market Value of Equity (Rs 30,353.33 crore) and its Market Value of Debt (Rs 0). This figure represents the total value of the company's capital structure and is the denominator for the weighting in the final WACC calculation.</t>
  </si>
  <si>
    <t>% Equity (E/V)</t>
  </si>
  <si>
    <t>The company's capital structure weights are 100% Equity and 0% Debt. This is a direct result of the company's all-equity financing, where the Market Value of Debt is zero. This assumption is consistent with the company's historical financing strategy and the inputs used in this valuation.</t>
  </si>
  <si>
    <t>% Debt (D/V)</t>
  </si>
  <si>
    <t>WACC</t>
  </si>
  <si>
    <t>The Weighted Average Cost of Capital (WACC) was determined to be 7.67%. This figure represents the blended cost of both equity and debt capital, weighted by the company's long-term capital structure. The WACC was calculated using the formula WACC=(VE​×Re​)+(VD​×Rd​×(1−T)). The Cost of Equity was derived from a Beta of 0.23, which was based on a comparable company analysis, while the Cost of Debt was determined to be 0% due to the company's all-equity capital structure. The WACC of 7.67% is a defensible discount rate to be used in a Discounted Cash Flow (DCF) model, as it accurately reflects the company's specific business risk and capital structure
[REVISION - beta updated 19 June 2026]
With the revised beta of 1.44, the WACC recomputes to 13.91%. NSE remains debt-free, so WACC equals the Cost of Equity. This replaces the earlier 7.66%.</t>
  </si>
  <si>
    <t>Unlevered Free Cash Flow (UFCF)</t>
  </si>
  <si>
    <t>EBIT</t>
  </si>
  <si>
    <t>Reasoning: The EBIT and Tax Rate are taken directly from your forecasted income statement. EBIT is the ideal starting point because it isolates the company's operating performance, removing the effects of financing (interest) and taxes. The tax rate is applied to this figure to arrive at the hypothetical operating profit after taxes.</t>
  </si>
  <si>
    <t>Tax Rate</t>
  </si>
  <si>
    <t>Taxes</t>
  </si>
  <si>
    <t>EBIT*TAX RATE</t>
  </si>
  <si>
    <t>NOPAT</t>
  </si>
  <si>
    <t>NOPAT is the final figure for a company's operational profitability after taxes. It is a critical line item because it represents the earnings generated from the core business, on a post-tax basis, without the influence of the company's debt or financing decisions. The formula for this is: NOPAT = EBIT × (1 - Tax Rate)</t>
  </si>
  <si>
    <t>D&amp;A are non-cash expenses. They are subtracted from a company's revenue to calculate net income for accounting purposes, but they do not represent an actual outflow of cash in the current period. Therefore, we add them back to NOPAT to reflect the true cash available to the business.</t>
  </si>
  <si>
    <t>CapEx</t>
  </si>
  <si>
    <t>CapEx is a real cash outflow. It is the money a company must spend on long-term assets, like property, plant, and equipment, to maintain and grow its operations. Since it is a necessary investment for the business to continue generating future cash flows, we subtract it from the calculation.</t>
  </si>
  <si>
    <t>Change in NWC</t>
  </si>
  <si>
    <t>This line item adjusts for the cash that is either tied up or freed from a company's short-term operations. A positive change in NWC (e.g., an increase in inventory) is a cash outflow and is subtracted, whereas a negative change (e.g., collecting cash from customers faster) is a cash inflow and is effectively added back to cash flow.</t>
  </si>
  <si>
    <t>UFCF = NOPAT + D&amp;A - CapEx - Change in NWC</t>
  </si>
  <si>
    <t>Perpetuity Growth Terminal Value Calculation</t>
  </si>
  <si>
    <t>Term</t>
  </si>
  <si>
    <t>Input</t>
  </si>
  <si>
    <t>Formula</t>
  </si>
  <si>
    <t>UFCF (2030)</t>
  </si>
  <si>
    <t>Terminal Value = [UFCF_last_year * (1 + g)] / (WACC - g)</t>
  </si>
  <si>
    <t>Perpentual Growth Rate(g)</t>
  </si>
  <si>
    <t>The 6% perpetuity growth rate (g) is a realistic and defensible assumption. This rate aligns with the estimated long-term nominal GDP growth rate of the Indian economy, reflecting the country's status as a fast-growing, developing market. The assumption is also mathematically sound, as the 6% growth rate is less than the company's WACC of 7.66%, ensuring a finite and meaningful Terminal Value.
[REVISION - beta updated 19 June 2026]
The 6% growth rate remains comfortably below the revised WACC of 13.91% (versus a 1.66% gap at the earlier 7.66%), preserving a finite and meaningful Terminal Value.</t>
  </si>
  <si>
    <t>Terminal Value</t>
  </si>
  <si>
    <t>The Terminal Value represents the cash flows beyond our explicit forecast period. It is a single value that captures the long-term, sustainable growth of the business into perpetuity. The value is highly sensitive to the perpetuity growth rate (g) and the WACC, and it often accounts for a significant portion of the total valuation.</t>
  </si>
  <si>
    <t>Exit Multiple Terminal Value Calculation</t>
  </si>
  <si>
    <t>EBITDA (2030)</t>
  </si>
  <si>
    <t>Terminal Value = EBITDA (Final Year) x Exit Multiple</t>
  </si>
  <si>
    <t xml:space="preserve">Exit Multiple </t>
  </si>
  <si>
    <t>FROM COMPARABLE COMPANY ANALYSIS</t>
  </si>
  <si>
    <t>Present Value of Cash Flows</t>
  </si>
  <si>
    <t>Total</t>
  </si>
  <si>
    <t>UFCF</t>
  </si>
  <si>
    <t>Discount Factor</t>
  </si>
  <si>
    <t>Discount Factor = 1 / (1 + WACC)^n</t>
  </si>
  <si>
    <t xml:space="preserve">Present Value   </t>
  </si>
  <si>
    <t>Present Value = UFCF / (1 + wacc)^n</t>
  </si>
  <si>
    <t>PV of TV (Perpetuity)</t>
  </si>
  <si>
    <t>PV of TV = Terminal Value / (1 + WACC)^n</t>
  </si>
  <si>
    <t>The Terminal Value, which accounts for the majority of the total Enterprise Value, is based on two defensible methods. The Perpetuity Growth Method uses a realistic long-term growth rate (g) assumption, while the Exit Multiple Method is based on the median EV/EBITDA multiple of a comparable peer group. Using the median is a professional standard that minimizes the impact of outliers and provides a market-based validation of the intrinsic valuation.</t>
  </si>
  <si>
    <t>PV of TV (Exit Multiple)</t>
  </si>
  <si>
    <t>The final Enterprise Value is presented as a range based on these two methods. This approach provides a more robust and defensible valuation than relying on a single number, reflecting a comprehensive analysis of both the company's intrinsic value and its relative market position.</t>
  </si>
  <si>
    <t>Total Enterprise Value</t>
  </si>
  <si>
    <t>(Perpetuity Growth)</t>
  </si>
  <si>
    <t>Perpetuity Growth Case</t>
  </si>
  <si>
    <t>Exit Multiple Case:</t>
  </si>
  <si>
    <t>Enterprise Value:</t>
  </si>
  <si>
    <t>Less: Net Debt:</t>
  </si>
  <si>
    <t>Plus: Minority Interest:</t>
  </si>
  <si>
    <t>Equals: Equity Value:</t>
  </si>
  <si>
    <t>Equity Value for Perpetuity Growth Case</t>
  </si>
  <si>
    <t>Equity Value for Exit Multiple Case:</t>
  </si>
  <si>
    <t>Diluted Shares Outstanding</t>
  </si>
  <si>
    <t>SENSITIVITY ANALYSIS</t>
  </si>
  <si>
    <t xml:space="preserve">wacc  </t>
  </si>
  <si>
    <t>The ranges used in your sensitivity analysis are based on financial modeling best practices, not arbitrary choices. They are designed to test the two most critical assumptions in a DCF model. For the WACC, your range of 6.66% to 8.66% tests the company's valuation under different risk scenarios, with a lower WACC assuming less risk and a higher WACC assuming more. It is a standard practice to test a range around your calculated base case. For the perpetual growth rate, your range of 4% to 8% tests the company's valuation against different long-term growth scenarios. A company's long-term growth rate cannot exceed the growth of its underlying economy forever, so your base case of 6% is quite optimistic. The lower bound of your range (4%) is a more conservative, realistic assumption for long-term growth. By showing how your valuation changes across all these scenarios, you are demonstrating the sensitivity of your model and the inherent risk in your assumptions. This provides a professional and credible view of the company's true value, proving that it is not a single number but a range of possible outcomes.
[REVISION - WACC band recentred 19 June 2026]
The WACC band has been recentred to 12.91%-14.91% around the revised base WACC of 13.91%. The earlier 6.66%-8.66% band reflected the pre-revision WACC.</t>
  </si>
  <si>
    <t>Perpetual  Growth Rate(g)</t>
  </si>
  <si>
    <t xml:space="preserve"> ERROR CHECK</t>
  </si>
  <si>
    <t>MASTER ERROR CHECK</t>
  </si>
  <si>
    <t>TO CHECK EBITDA</t>
  </si>
  <si>
    <t>INCOME STATEMENT</t>
  </si>
  <si>
    <t>[Cell containing your listed EBITDA] - ([Cell for Revenue] - [Cell for Total Operating Expenses])</t>
  </si>
  <si>
    <t>[Cell containing your listed EBIT] - ([Cell for EBITDA] - [Cell for D&amp;A])</t>
  </si>
  <si>
    <t>TO CHECK PAT</t>
  </si>
  <si>
    <t>[Cell for PAT] - ([Cell for PBT] - [Cell for Tax] - [Cell for Loss from Disc. Ops])</t>
  </si>
  <si>
    <t>TO CHECK ASSET - [EQUITY + LIABILITIES]</t>
  </si>
  <si>
    <t>BALANCE SHEET</t>
  </si>
  <si>
    <t>ASSET - [EQUITY + LIABILITIES]</t>
  </si>
  <si>
    <t>TO CHECK CASH FLOW</t>
  </si>
  <si>
    <t>CASH FLOW</t>
  </si>
  <si>
    <t>ENDING CASH - CASH&amp;CASH EQUIVALENT</t>
  </si>
  <si>
    <t>FORCAST SCHEDULES</t>
  </si>
  <si>
    <t>ENDING RESERVE = BEGINNING RESERVE + NI - DIVIDENDS PAID</t>
  </si>
  <si>
    <t>CATEGORY</t>
  </si>
  <si>
    <t>LINE ITEM</t>
  </si>
  <si>
    <t>REASONING</t>
  </si>
  <si>
    <t>REVENUE</t>
  </si>
  <si>
    <t xml:space="preserve">"FY2026 REVENUE GROWTH FORECAST AT 21.0%, DERIVED FROM AN ~11.0% NOMINAL GDP GROWTH BASELINE PLUS A ~10.0% PREMIUM DRIVEN BY STRONG ANTICIPATED EXPANSION IN THE DERIVATIVES MARKET (EST. 20-25%+ GROWTH), CONTINUED FINANCIAL DEEPENING IN INDIA, AND ROBUST OVERALL MARKET PARTICIPATION."
</t>
  </si>
  <si>
    <t>ASSUMING LINEAR REDUCTION OF GRWOTH BY 1.5%</t>
  </si>
  <si>
    <t>OTHER EXPENSES ARE PROJECTED AT 19.63% OF REVENUE, CALCULATED AS THE AVERAGE OF THE RATES FROM THE TWO MOST RECENT FISCAL YEARS (FY2024: 18.33%, FY2025: 20.93%). THIS APPROACH CAPTURES THE CURRENT OPERATIONAL COST STRUCTURE, WHICH INCLUDES LIKELY ONGOING INVESTMENTS IN TECHNOLOGY, BUSINESS DEVELOPMENT, AND COMPLIANCE CRUCIAL FOR A GROWING EXCHANGE, WHILE SMOOTHING OUT SINGLE-YEAR FLUCTUATIONS. IT IS ASSUMED THESE COSTS WILL SCALE PROPORTIONALLY WITH REVENUE, LEADING TO AN IMPLIED EBITDA MARGIN OF APPROXIMATELY 76.9%, CONSISTENT WITH NSE'S RECENT STRONG HISTORICAL PROFITABILITY.</t>
  </si>
  <si>
    <t>THIS LINE ITEM IS HIGHLY VOLATILE AND NON-RECURRING IN HISTORICAL FINANCIALS (E.G., PERIODS OF ZERO AND NEGATIVE VALUES), INDICATING IT'S NOT A PREDICTABLE OPERATIONAL EXPENSE. CONTRIBUTIONS TO THE SGF ARE PRIMARILY DRIVEN BY REGULATORY REQUIREMENTS AND THE FUND'S OWN INTERNAL DYNAMICS (E.G., MEMBER CONTRIBUTIONS, INVESTMENT INCOME), NOT CONSISTENT CORE BUSINESS OPERATIONS. FOR VALUATION, MAINTAINING A CLEAN INCOME STATEMENT FOCUSED ON RECURRING OPERATING PROFITABILITY, WHILE ADDRESSING THE CRITICAL SGF BALANCE AS A BALANCE SHEET ITEM (TO BE LINKED TO DRIVERS LIKE TRADING VOLUMES AND REGULATORY NEEDS), IS THE MOST ACCURATE AND CONSERVATIVE MODELING PRACTICE. THIS APPROACH ENSURES TRANSPARENT BASE-CASE FINANCIALS, WITH SPECIFIC SGF ADJUSTMENTS TO BE ADDRESSED VIA THE BALANCE SHEET AND POTENTIALLY IN SCENARIO ANALYSIS.</t>
  </si>
  <si>
    <t>THIS LINE ITEM REPRESENTS GAINS OR LOSSES FROM BUSINESS SEGMENTS THAT HAVE BEEN SOLD, ABANDONED, OR HELD FOR SALE. ITS HIGHLY VOLATILE AND NON-RECURRING NATURE IN HISTORICAL FINANCIALS MAKES IT UNPREDICTABLE. FOR VALUATION, THE MOST ACCURATE AND CONSERVATIVE MODELING PRACTICE IS TO ASSUME A VALUE OF ZERO FOR ALL FORECASTED PERIODS. THIS APPROACH MAINTAINS A CLEAN INCOME STATEMENT FOCUSED ON PROJECTING RECURRING OPERATING PROFITABILITY FROM THE COMPANY'S CORE BUSINESS, ENSURING THAT THE FORECASTED EARNINGS TRULY REFLECT THE ONGOING FINANCIAL PERFORMANCE AND SUSTAINABLE EARNINGS POWER.</t>
  </si>
  <si>
    <t>FOR THE BASE-CASE VALUATION, WE ASSUME A CONSTANT NUMBER OF SHARES OUTSTANDING. THIS IS A STANDARD PRACTICE AS IT AVOIDS SPECULATING ON FUTURE CORPORATE ACTIONS LIKE SHARE BUYBACKS OR NEW ISSUANCES. A STOCK SPLIT, WHILE INCREASING THE NUMBER OF SHARES, DOES NOT CHANGE THE COMPANY'S FUNDAMENTAL VALUE AND THEREFORE WOULD BE A NON-MATERIAL EVENT FOR THE MODEL'S CORE VALUATION. THIS ASSUMPTION ENSURES THE MODEL IS FOCUSED ON THE INTRINSIC VALUE DRIVEN BY CORE BUSINESS PERFORMANCE.</t>
  </si>
  <si>
    <t>EQUITY CAPITAL</t>
  </si>
  <si>
    <t>FOR THE BASE-CASE VALUATION, WE ASSUME A CONSTANT EQUITY CAPITAL OF ₹247.50. THE FACE VALUE OF THE SHARES WAS ADJUSTED FROM ₹0.20 TO ₹1.00 IN 2025, AND WE WILL MAINTAIN THIS VALUE GOING FORWARD. THIS ENSURES THE MODEL REMAINS CONSISTENT WITH THE CURRENT CAPITAL STRUCTURE AND AVOIDS SPECULATING ON FUTURE CORPORATE ACTIONS.</t>
  </si>
  <si>
    <t>-</t>
  </si>
  <si>
    <t>HISTORICAL ADJUSTMENT (2025 ONLY): THE ₹198 CRORE ADJUSTMENT WAS MADE IN 2025 TO REFLECT A ONE-TIME HISTORICAL EVENT RELATED TO THE CONVERSION OF PREFERRED SHARES INTO COMMON EQUITY. THIS ADJUSTMENT ENSURES THE HISTORICAL BALANCE SHEET IS MATHEMATICALLY CONSISTENT AND PROVIDES A PROPER STARTING POINT FOR THE FORECAST. THE HISTORICAL DIVIDENDS PAID FOR 2025 WERE ALSO ADJUSTED TO EXCLUDE THIS NON-CASH CAPITAL TRANSACTION.</t>
  </si>
  <si>
    <t>FOR THE FORECAST PERIOD, ASSETS CLASSIFIED AS HELD FOR SALE ARE ASSUMED TO BE ₹0. THIS IS A STANDARD BASE-CASE ASSUMPTION THAT REFLECTS THE NON-RECURRING NATURE OF THESE ASSETS AND THE EXPECTATION THAT THEY WILL BE SOLD, THUS NO LONGER APPEARING ON THE BALANCE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</si>
</sst>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 &quot;#,##0.00"/>
    <numFmt numFmtId="165" formatCode="&quot;₹ &quot;#,##0;[Red]&quot;₹ -&quot;#,##0"/>
    <numFmt numFmtId="166" formatCode="&quot;₹ &quot;#,##0.00;[Red]&quot;₹ -&quot;#,##0.00"/>
    <numFmt numFmtId="167" formatCode="_ [$₹-4009]\ * #,##0.00_ ;_ [$₹-4009]\ * \-#,##0.00_ ;_ [$₹-4009]\ * \-??_ ;_ @_ "/>
    <numFmt numFmtId="168" formatCode="[$₹-4009]\ #,##0.00;[Red][$₹-4009]&quot; -&quot;#,##0.00"/>
    <numFmt numFmtId="169" formatCode="0.000"/>
  </numFmts>
  <fonts count="14">
    <font>
      <sz val="11"/>
      <color theme="1"/>
      <name val="Aptos Narrow"/>
      <family val="2"/>
      <charset val="1"/>
    </font>
    <font>
      <sz val="10"/>
      <name val="Arial"/>
      <family val="2"/>
    </font>
    <font>
      <i/>
      <sz val="11"/>
      <color theme="1"/>
      <name val="Aptos Narrow"/>
      <family val="2"/>
      <charset val="1"/>
    </font>
    <font>
      <i/>
      <sz val="11"/>
      <color rgb="FF006100"/>
      <name val="Aptos Narrow"/>
      <family val="2"/>
      <charset val="1"/>
    </font>
    <font>
      <i/>
      <sz val="11"/>
      <color rgb="FF9C5700"/>
      <name val="Aptos Narrow"/>
      <family val="2"/>
      <charset val="1"/>
    </font>
    <font>
      <i/>
      <sz val="11"/>
      <color rgb="FF9C0006"/>
      <name val="Aptos Narrow"/>
      <family val="2"/>
      <charset val="1"/>
    </font>
    <font>
      <i/>
      <u/>
      <sz val="11"/>
      <color theme="10"/>
      <name val="Aptos Narrow"/>
      <family val="2"/>
      <charset val="1"/>
    </font>
    <font>
      <i/>
      <sz val="9"/>
      <color theme="1"/>
      <name val="Aptos Narrow"/>
      <family val="2"/>
      <charset val="1"/>
    </font>
    <font>
      <u/>
      <sz val="11"/>
      <color theme="10"/>
      <name val="Aptos Narrow"/>
      <family val="2"/>
      <charset val="1"/>
    </font>
    <font>
      <sz val="12"/>
      <color theme="1"/>
      <name val="Aptos"/>
      <family val="2"/>
      <charset val="1"/>
    </font>
    <font>
      <sz val="11"/>
      <name val="Aptos Narrow"/>
      <family val="2"/>
      <charset val="1"/>
    </font>
    <font>
      <sz val="13.5"/>
      <color theme="1"/>
      <name val="Aptos Narrow"/>
      <family val="2"/>
      <charset val="1"/>
    </font>
    <font>
      <b/>
      <sz val="11"/>
      <color theme="1"/>
      <name val="Aptos Narrow"/>
      <family val="2"/>
      <charset val="1"/>
    </font>
    <font>
      <sz val="10"/>
      <color theme="1"/>
      <name val="Arial Unicode MS"/>
      <charset val="1"/>
    </font>
  </fonts>
  <fills count="7">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
      <patternFill patternType="solid">
        <fgColor theme="0" tint="-0.249977111117893"/>
        <bgColor rgb="FFCCCCFF"/>
      </patternFill>
    </fill>
    <fill>
      <patternFill patternType="solid">
        <fgColor rgb="FFFF0000"/>
        <bgColor rgb="FF9C0006"/>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style="thin">
        <color auto="1"/>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268">
    <xf numFmtId="0" fontId="0" fillId="0" borderId="0" xfId="0"/>
    <xf numFmtId="0" fontId="0" fillId="0" borderId="1" xfId="0" applyBorder="1" applyAlignment="1">
      <alignment horizontal="center" vertical="center"/>
    </xf>
    <xf numFmtId="0" fontId="0" fillId="0" borderId="3" xfId="0" applyBorder="1" applyAlignment="1">
      <alignment horizontal="left" vertical="top" wrapText="1"/>
    </xf>
    <xf numFmtId="0" fontId="0" fillId="0" borderId="15" xfId="0" applyBorder="1" applyAlignment="1">
      <alignment horizontal="center"/>
    </xf>
    <xf numFmtId="0" fontId="0" fillId="0" borderId="0" xfId="0" applyAlignment="1">
      <alignment vertical="center" wrapText="1"/>
    </xf>
    <xf numFmtId="0" fontId="0" fillId="0" borderId="10" xfId="0" applyBorder="1" applyAlignment="1">
      <alignment horizontal="left" vertical="center" wrapText="1"/>
    </xf>
    <xf numFmtId="0" fontId="0" fillId="0" borderId="0" xfId="0" applyAlignment="1">
      <alignment horizontal="left" vertical="top" wrapText="1"/>
    </xf>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5" xfId="0" applyBorder="1" applyAlignment="1">
      <alignment horizontal="center"/>
    </xf>
    <xf numFmtId="0" fontId="0" fillId="0" borderId="9" xfId="0" applyBorder="1" applyAlignment="1">
      <alignment horizontal="center"/>
    </xf>
    <xf numFmtId="0" fontId="0" fillId="0" borderId="13" xfId="0" applyBorder="1" applyAlignment="1">
      <alignment horizontal="center"/>
    </xf>
    <xf numFmtId="0" fontId="0" fillId="0" borderId="1" xfId="0" applyBorder="1" applyAlignment="1">
      <alignment horizontal="center"/>
    </xf>
    <xf numFmtId="0" fontId="2" fillId="0" borderId="0" xfId="0" applyFont="1" applyAlignment="1">
      <alignment horizontal="left" indent="1"/>
    </xf>
    <xf numFmtId="0" fontId="3" fillId="2" borderId="2" xfId="0" applyFont="1" applyFill="1" applyBorder="1"/>
    <xf numFmtId="0" fontId="3" fillId="2" borderId="3" xfId="0" applyFont="1" applyFill="1" applyBorder="1"/>
    <xf numFmtId="0" fontId="3" fillId="2" borderId="4" xfId="0" applyFont="1" applyFill="1" applyBorder="1"/>
    <xf numFmtId="0" fontId="4" fillId="3" borderId="3" xfId="0" applyFont="1" applyFill="1" applyBorder="1"/>
    <xf numFmtId="0" fontId="4" fillId="3" borderId="4" xfId="0" applyFont="1" applyFill="1" applyBorder="1"/>
    <xf numFmtId="0" fontId="5" fillId="4" borderId="0" xfId="0" applyFont="1" applyFill="1"/>
    <xf numFmtId="0" fontId="5" fillId="4" borderId="0" xfId="0" applyFont="1" applyFill="1" applyAlignment="1">
      <alignment horizontal="left" indent="1"/>
    </xf>
    <xf numFmtId="0" fontId="0" fillId="0" borderId="5" xfId="0" applyBorder="1"/>
    <xf numFmtId="0" fontId="0" fillId="0" borderId="6" xfId="0" applyBorder="1"/>
    <xf numFmtId="0" fontId="0" fillId="0" borderId="7" xfId="0" applyBorder="1"/>
    <xf numFmtId="0" fontId="0" fillId="0" borderId="8" xfId="0" applyBorder="1"/>
    <xf numFmtId="164" fontId="0" fillId="0" borderId="0" xfId="0" applyNumberFormat="1"/>
    <xf numFmtId="164" fontId="0" fillId="0" borderId="9" xfId="0" applyNumberFormat="1" applyBorder="1" applyAlignment="1">
      <alignment horizontal="left" indent="1"/>
    </xf>
    <xf numFmtId="164" fontId="0" fillId="0" borderId="2" xfId="0" applyNumberFormat="1" applyBorder="1"/>
    <xf numFmtId="164" fontId="0" fillId="0" borderId="3" xfId="0" applyNumberFormat="1" applyBorder="1"/>
    <xf numFmtId="164" fontId="0" fillId="0" borderId="4" xfId="0" applyNumberFormat="1" applyBorder="1"/>
    <xf numFmtId="164" fontId="0" fillId="0" borderId="8" xfId="0" applyNumberFormat="1" applyBorder="1"/>
    <xf numFmtId="164" fontId="6" fillId="0" borderId="0" xfId="0" applyNumberFormat="1" applyFont="1" applyAlignment="1">
      <alignment horizontal="left" indent="1"/>
    </xf>
    <xf numFmtId="10" fontId="0" fillId="0" borderId="0" xfId="0" applyNumberFormat="1"/>
    <xf numFmtId="10" fontId="0" fillId="0" borderId="10" xfId="0" applyNumberFormat="1" applyBorder="1" applyAlignment="1">
      <alignment horizontal="left" indent="1"/>
    </xf>
    <xf numFmtId="10" fontId="0" fillId="0" borderId="11" xfId="0" applyNumberFormat="1" applyBorder="1"/>
    <xf numFmtId="10" fontId="0" fillId="0" borderId="8" xfId="0" applyNumberFormat="1" applyBorder="1"/>
    <xf numFmtId="10" fontId="2" fillId="0" borderId="0" xfId="0" applyNumberFormat="1" applyFont="1" applyAlignment="1">
      <alignment horizontal="left" indent="1"/>
    </xf>
    <xf numFmtId="164" fontId="0" fillId="0" borderId="10" xfId="0" applyNumberFormat="1" applyBorder="1" applyAlignment="1">
      <alignment horizontal="left" indent="1"/>
    </xf>
    <xf numFmtId="164" fontId="0" fillId="0" borderId="11" xfId="0" applyNumberFormat="1" applyBorder="1"/>
    <xf numFmtId="164" fontId="2" fillId="0" borderId="0" xfId="0" applyNumberFormat="1" applyFont="1" applyAlignment="1">
      <alignment horizontal="left" indent="1"/>
    </xf>
    <xf numFmtId="164" fontId="0" fillId="0" borderId="10" xfId="0" applyNumberFormat="1" applyBorder="1" applyAlignment="1">
      <alignment horizontal="left" indent="3"/>
    </xf>
    <xf numFmtId="164" fontId="7" fillId="0" borderId="0" xfId="0" applyNumberFormat="1" applyFont="1" applyAlignment="1">
      <alignment horizontal="left" wrapText="1" indent="1"/>
    </xf>
    <xf numFmtId="164" fontId="7" fillId="5" borderId="10" xfId="0" applyNumberFormat="1" applyFont="1" applyFill="1" applyBorder="1" applyAlignment="1">
      <alignment horizontal="left" indent="1"/>
    </xf>
    <xf numFmtId="165" fontId="7" fillId="5" borderId="11" xfId="0" applyNumberFormat="1" applyFont="1" applyFill="1" applyBorder="1"/>
    <xf numFmtId="165" fontId="7" fillId="5" borderId="0" xfId="0" applyNumberFormat="1" applyFont="1" applyFill="1"/>
    <xf numFmtId="165" fontId="7" fillId="5" borderId="8" xfId="0" applyNumberFormat="1" applyFont="1" applyFill="1" applyBorder="1"/>
    <xf numFmtId="164" fontId="7" fillId="5" borderId="11" xfId="0" applyNumberFormat="1" applyFont="1" applyFill="1" applyBorder="1"/>
    <xf numFmtId="164" fontId="7" fillId="5" borderId="0" xfId="0" applyNumberFormat="1" applyFont="1" applyFill="1"/>
    <xf numFmtId="164" fontId="7" fillId="5" borderId="8" xfId="0" applyNumberFormat="1" applyFont="1" applyFill="1" applyBorder="1"/>
    <xf numFmtId="164" fontId="7" fillId="0" borderId="10" xfId="0" applyNumberFormat="1" applyFont="1" applyBorder="1" applyAlignment="1">
      <alignment horizontal="left" indent="1"/>
    </xf>
    <xf numFmtId="165" fontId="7" fillId="0" borderId="11" xfId="0" applyNumberFormat="1" applyFont="1" applyBorder="1"/>
    <xf numFmtId="165" fontId="7" fillId="0" borderId="0" xfId="0" applyNumberFormat="1" applyFont="1"/>
    <xf numFmtId="165" fontId="7" fillId="0" borderId="8" xfId="0" applyNumberFormat="1" applyFont="1" applyBorder="1"/>
    <xf numFmtId="9" fontId="0" fillId="0" borderId="8" xfId="0" applyNumberFormat="1" applyBorder="1"/>
    <xf numFmtId="164" fontId="7" fillId="0" borderId="0" xfId="0" applyNumberFormat="1" applyFont="1"/>
    <xf numFmtId="2" fontId="0" fillId="0" borderId="11" xfId="0" applyNumberFormat="1" applyBorder="1"/>
    <xf numFmtId="2" fontId="0" fillId="0" borderId="0" xfId="0" applyNumberFormat="1"/>
    <xf numFmtId="2" fontId="0" fillId="0" borderId="8" xfId="0" applyNumberFormat="1" applyBorder="1"/>
    <xf numFmtId="164" fontId="0" fillId="0" borderId="12" xfId="0" applyNumberFormat="1" applyBorder="1" applyAlignment="1">
      <alignment horizontal="left" indent="1"/>
    </xf>
    <xf numFmtId="164" fontId="0" fillId="0" borderId="5" xfId="0" applyNumberFormat="1" applyBorder="1"/>
    <xf numFmtId="164" fontId="0" fillId="0" borderId="6" xfId="0" applyNumberFormat="1" applyBorder="1"/>
    <xf numFmtId="164" fontId="0" fillId="0" borderId="7" xfId="0" applyNumberFormat="1" applyBorder="1"/>
    <xf numFmtId="0" fontId="2" fillId="0" borderId="0" xfId="0" applyFont="1"/>
    <xf numFmtId="166" fontId="0" fillId="0" borderId="0" xfId="0" applyNumberFormat="1"/>
    <xf numFmtId="0" fontId="3" fillId="2" borderId="13" xfId="0" applyFont="1" applyFill="1" applyBorder="1"/>
    <xf numFmtId="0" fontId="3" fillId="2" borderId="14" xfId="0" applyFont="1" applyFill="1" applyBorder="1"/>
    <xf numFmtId="0" fontId="3" fillId="2" borderId="15" xfId="0" applyFont="1" applyFill="1" applyBorder="1"/>
    <xf numFmtId="0" fontId="4" fillId="3" borderId="13" xfId="0" applyFont="1" applyFill="1" applyBorder="1"/>
    <xf numFmtId="0" fontId="4" fillId="3" borderId="14" xfId="0" applyFont="1" applyFill="1" applyBorder="1"/>
    <xf numFmtId="0" fontId="4" fillId="3" borderId="15" xfId="0" applyFont="1" applyFill="1" applyBorder="1"/>
    <xf numFmtId="166" fontId="5" fillId="4" borderId="8" xfId="0" applyNumberFormat="1" applyFont="1" applyFill="1" applyBorder="1"/>
    <xf numFmtId="0" fontId="5" fillId="4" borderId="0" xfId="0" applyFont="1" applyFill="1" applyAlignment="1">
      <alignment horizontal="left" indent="3"/>
    </xf>
    <xf numFmtId="0" fontId="0" fillId="0" borderId="2" xfId="0" applyBorder="1"/>
    <xf numFmtId="0" fontId="0" fillId="0" borderId="3" xfId="0" applyBorder="1"/>
    <xf numFmtId="0" fontId="0" fillId="0" borderId="4" xfId="0" applyBorder="1"/>
    <xf numFmtId="166" fontId="0" fillId="0" borderId="8" xfId="0" applyNumberFormat="1" applyBorder="1"/>
    <xf numFmtId="0" fontId="2" fillId="0" borderId="0" xfId="0" applyFont="1" applyAlignment="1">
      <alignment horizontal="left" indent="2"/>
    </xf>
    <xf numFmtId="0" fontId="0" fillId="0" borderId="11" xfId="0" applyBorder="1"/>
    <xf numFmtId="0" fontId="2" fillId="0" borderId="1" xfId="0" applyFont="1" applyBorder="1" applyAlignment="1">
      <alignment horizontal="center" vertical="center"/>
    </xf>
    <xf numFmtId="164" fontId="0" fillId="0" borderId="9" xfId="0" applyNumberFormat="1" applyBorder="1" applyAlignment="1">
      <alignment horizontal="left" indent="2"/>
    </xf>
    <xf numFmtId="164" fontId="2" fillId="0" borderId="9" xfId="0" applyNumberFormat="1" applyFont="1" applyBorder="1" applyAlignment="1">
      <alignment horizontal="left" indent="1"/>
    </xf>
    <xf numFmtId="10" fontId="0" fillId="0" borderId="10" xfId="0" applyNumberFormat="1" applyBorder="1" applyAlignment="1">
      <alignment horizontal="left" indent="4"/>
    </xf>
    <xf numFmtId="10" fontId="2" fillId="0" borderId="10" xfId="0" applyNumberFormat="1" applyFont="1" applyBorder="1" applyAlignment="1">
      <alignment horizontal="left" indent="1"/>
    </xf>
    <xf numFmtId="164" fontId="0" fillId="0" borderId="10" xfId="0" applyNumberFormat="1" applyBorder="1" applyAlignment="1">
      <alignment horizontal="left" indent="4"/>
    </xf>
    <xf numFmtId="10" fontId="0" fillId="0" borderId="9" xfId="0" applyNumberFormat="1" applyBorder="1" applyAlignment="1">
      <alignment horizontal="left" indent="2"/>
    </xf>
    <xf numFmtId="10" fontId="2" fillId="0" borderId="9" xfId="0" applyNumberFormat="1" applyFont="1" applyBorder="1" applyAlignment="1">
      <alignment horizontal="left" indent="1"/>
    </xf>
    <xf numFmtId="164" fontId="0" fillId="0" borderId="10" xfId="0" applyNumberFormat="1" applyBorder="1" applyAlignment="1">
      <alignment horizontal="left" indent="2"/>
    </xf>
    <xf numFmtId="0" fontId="0" fillId="0" borderId="10" xfId="0" applyBorder="1" applyAlignment="1">
      <alignment horizontal="left" indent="1"/>
    </xf>
    <xf numFmtId="0" fontId="2" fillId="0" borderId="10" xfId="0" applyFont="1" applyBorder="1"/>
    <xf numFmtId="0" fontId="8" fillId="0" borderId="8" xfId="0" applyFont="1" applyBorder="1"/>
    <xf numFmtId="0" fontId="0" fillId="0" borderId="0" xfId="0" applyAlignment="1">
      <alignment wrapText="1"/>
    </xf>
    <xf numFmtId="0" fontId="0" fillId="0" borderId="10" xfId="0" applyBorder="1"/>
    <xf numFmtId="0" fontId="0" fillId="0" borderId="9" xfId="0" applyBorder="1"/>
    <xf numFmtId="0" fontId="2" fillId="0" borderId="9" xfId="0" applyFont="1" applyBorder="1"/>
    <xf numFmtId="164" fontId="7" fillId="5" borderId="1" xfId="0" applyNumberFormat="1" applyFont="1" applyFill="1" applyBorder="1" applyAlignment="1">
      <alignment horizontal="left" indent="1"/>
    </xf>
    <xf numFmtId="164" fontId="7" fillId="5" borderId="1" xfId="0" applyNumberFormat="1" applyFont="1" applyFill="1" applyBorder="1"/>
    <xf numFmtId="164" fontId="7" fillId="5" borderId="13" xfId="0" applyNumberFormat="1" applyFont="1" applyFill="1" applyBorder="1"/>
    <xf numFmtId="164" fontId="7" fillId="5" borderId="14" xfId="0" applyNumberFormat="1" applyFont="1" applyFill="1" applyBorder="1"/>
    <xf numFmtId="164" fontId="7" fillId="5" borderId="15" xfId="0" applyNumberFormat="1" applyFont="1" applyFill="1" applyBorder="1"/>
    <xf numFmtId="9" fontId="7" fillId="0" borderId="0" xfId="0" applyNumberFormat="1" applyFont="1"/>
    <xf numFmtId="0" fontId="4" fillId="3" borderId="2" xfId="0" applyFont="1" applyFill="1" applyBorder="1"/>
    <xf numFmtId="0" fontId="4" fillId="0" borderId="0" xfId="0" applyFont="1"/>
    <xf numFmtId="166" fontId="5" fillId="4" borderId="8" xfId="0" applyNumberFormat="1" applyFont="1" applyFill="1" applyBorder="1" applyAlignment="1">
      <alignment wrapText="1"/>
    </xf>
    <xf numFmtId="0" fontId="0" fillId="0" borderId="13" xfId="0" applyBorder="1"/>
    <xf numFmtId="0" fontId="0" fillId="0" borderId="14" xfId="0" applyBorder="1"/>
    <xf numFmtId="0" fontId="0" fillId="0" borderId="15" xfId="0" applyBorder="1"/>
    <xf numFmtId="9" fontId="2" fillId="0" borderId="0" xfId="0" applyNumberFormat="1" applyFont="1" applyAlignment="1">
      <alignment horizontal="center" vertical="center" wrapText="1"/>
    </xf>
    <xf numFmtId="10" fontId="0" fillId="0" borderId="2" xfId="0" applyNumberFormat="1" applyBorder="1" applyAlignment="1">
      <alignment horizontal="left" indent="3"/>
    </xf>
    <xf numFmtId="166" fontId="0" fillId="0" borderId="2" xfId="0" applyNumberFormat="1" applyBorder="1"/>
    <xf numFmtId="166" fontId="0" fillId="0" borderId="3" xfId="0" applyNumberFormat="1" applyBorder="1"/>
    <xf numFmtId="166" fontId="0" fillId="0" borderId="4" xfId="0" applyNumberFormat="1" applyBorder="1"/>
    <xf numFmtId="10" fontId="0" fillId="0" borderId="11" xfId="0" applyNumberFormat="1" applyBorder="1" applyAlignment="1">
      <alignment horizontal="left" indent="3"/>
    </xf>
    <xf numFmtId="166" fontId="0" fillId="0" borderId="11" xfId="0" applyNumberFormat="1" applyBorder="1"/>
    <xf numFmtId="164" fontId="0" fillId="0" borderId="11" xfId="0" applyNumberFormat="1" applyBorder="1" applyAlignment="1">
      <alignment horizontal="left" indent="3"/>
    </xf>
    <xf numFmtId="10" fontId="0" fillId="0" borderId="11" xfId="0" applyNumberFormat="1" applyBorder="1" applyAlignment="1">
      <alignment horizontal="left" indent="1"/>
    </xf>
    <xf numFmtId="164" fontId="0" fillId="0" borderId="11" xfId="0" applyNumberFormat="1" applyBorder="1" applyAlignment="1">
      <alignment horizontal="left" indent="1"/>
    </xf>
    <xf numFmtId="164" fontId="0" fillId="0" borderId="2" xfId="0" applyNumberFormat="1" applyBorder="1" applyAlignment="1">
      <alignment horizontal="left" indent="1"/>
    </xf>
    <xf numFmtId="164" fontId="0" fillId="0" borderId="13" xfId="0" applyNumberFormat="1" applyBorder="1" applyAlignment="1">
      <alignment horizontal="left" indent="1"/>
    </xf>
    <xf numFmtId="164" fontId="0" fillId="0" borderId="13" xfId="0" applyNumberFormat="1" applyBorder="1"/>
    <xf numFmtId="164" fontId="0" fillId="0" borderId="14" xfId="0" applyNumberFormat="1" applyBorder="1"/>
    <xf numFmtId="164" fontId="0" fillId="0" borderId="15" xfId="0" applyNumberFormat="1" applyBorder="1"/>
    <xf numFmtId="10" fontId="0" fillId="0" borderId="2" xfId="0" applyNumberFormat="1" applyBorder="1" applyAlignment="1">
      <alignment horizontal="left" indent="1"/>
    </xf>
    <xf numFmtId="164" fontId="7" fillId="0" borderId="11" xfId="0" applyNumberFormat="1" applyFont="1" applyBorder="1" applyAlignment="1">
      <alignment horizontal="left" indent="1"/>
    </xf>
    <xf numFmtId="164" fontId="0" fillId="0" borderId="2" xfId="0" applyNumberFormat="1" applyBorder="1" applyAlignment="1">
      <alignment horizontal="left" indent="2"/>
    </xf>
    <xf numFmtId="10" fontId="0" fillId="0" borderId="2" xfId="0" applyNumberFormat="1" applyBorder="1" applyAlignment="1">
      <alignment horizontal="left" indent="2"/>
    </xf>
    <xf numFmtId="10" fontId="0" fillId="0" borderId="11" xfId="0" applyNumberFormat="1" applyBorder="1" applyAlignment="1">
      <alignment horizontal="left" indent="2"/>
    </xf>
    <xf numFmtId="164" fontId="7" fillId="5" borderId="13" xfId="0" applyNumberFormat="1" applyFont="1" applyFill="1" applyBorder="1" applyAlignment="1">
      <alignment horizontal="left" indent="1"/>
    </xf>
    <xf numFmtId="0" fontId="2" fillId="6" borderId="0" xfId="0" applyFont="1" applyFill="1"/>
    <xf numFmtId="0" fontId="9" fillId="0" borderId="11" xfId="0" applyFont="1" applyBorder="1" applyAlignment="1">
      <alignment vertical="center"/>
    </xf>
    <xf numFmtId="3" fontId="0" fillId="0" borderId="11" xfId="0" applyNumberFormat="1" applyBorder="1"/>
    <xf numFmtId="3" fontId="0" fillId="0" borderId="0" xfId="0" applyNumberFormat="1"/>
    <xf numFmtId="3" fontId="0" fillId="0" borderId="8" xfId="0" applyNumberFormat="1" applyBorder="1"/>
    <xf numFmtId="10" fontId="0" fillId="0" borderId="5" xfId="0" applyNumberFormat="1" applyBorder="1" applyAlignment="1">
      <alignment horizontal="left" indent="1"/>
    </xf>
    <xf numFmtId="10" fontId="0" fillId="0" borderId="0" xfId="0" applyNumberFormat="1" applyAlignment="1">
      <alignment horizontal="left" indent="1"/>
    </xf>
    <xf numFmtId="164" fontId="7" fillId="0" borderId="0" xfId="0" applyNumberFormat="1" applyFont="1" applyAlignment="1">
      <alignment horizontal="left" indent="1"/>
    </xf>
    <xf numFmtId="164" fontId="0" fillId="0" borderId="0" xfId="0" applyNumberFormat="1" applyAlignment="1">
      <alignment horizontal="left" indent="1"/>
    </xf>
    <xf numFmtId="0" fontId="0" fillId="0" borderId="7" xfId="0" applyBorder="1" applyAlignment="1">
      <alignment horizontal="center"/>
    </xf>
    <xf numFmtId="0" fontId="0" fillId="0" borderId="1" xfId="0" applyBorder="1"/>
    <xf numFmtId="164" fontId="0" fillId="0" borderId="9" xfId="0" applyNumberFormat="1" applyBorder="1"/>
    <xf numFmtId="164" fontId="0" fillId="0" borderId="10" xfId="0" applyNumberFormat="1" applyBorder="1"/>
    <xf numFmtId="0" fontId="10" fillId="5" borderId="10" xfId="0" applyFont="1" applyFill="1" applyBorder="1"/>
    <xf numFmtId="4" fontId="0" fillId="0" borderId="10" xfId="0" applyNumberFormat="1" applyBorder="1"/>
    <xf numFmtId="10" fontId="0" fillId="0" borderId="10" xfId="0" applyNumberFormat="1" applyBorder="1"/>
    <xf numFmtId="0" fontId="0" fillId="0" borderId="12" xfId="0" applyBorder="1"/>
    <xf numFmtId="0" fontId="10" fillId="5" borderId="12" xfId="0" applyFont="1" applyFill="1" applyBorder="1"/>
    <xf numFmtId="10" fontId="0" fillId="0" borderId="6" xfId="0" applyNumberFormat="1" applyBorder="1"/>
    <xf numFmtId="10" fontId="0" fillId="0" borderId="12" xfId="0" applyNumberFormat="1" applyBorder="1"/>
    <xf numFmtId="10" fontId="0" fillId="0" borderId="7" xfId="0" applyNumberFormat="1" applyBorder="1"/>
    <xf numFmtId="0" fontId="0" fillId="0" borderId="1" xfId="0" applyBorder="1" applyAlignment="1">
      <alignment vertical="center"/>
    </xf>
    <xf numFmtId="0" fontId="0" fillId="0" borderId="14" xfId="0" applyBorder="1" applyAlignment="1">
      <alignment vertical="center"/>
    </xf>
    <xf numFmtId="0" fontId="0" fillId="0" borderId="11" xfId="0" applyBorder="1" applyAlignment="1">
      <alignment vertical="center"/>
    </xf>
    <xf numFmtId="0" fontId="0" fillId="0" borderId="9" xfId="0" applyBorder="1" applyAlignment="1">
      <alignment vertical="center"/>
    </xf>
    <xf numFmtId="166" fontId="0" fillId="0" borderId="4" xfId="0" applyNumberFormat="1" applyBorder="1" applyAlignment="1">
      <alignment vertical="center"/>
    </xf>
    <xf numFmtId="0" fontId="0" fillId="0" borderId="10" xfId="0" applyBorder="1" applyAlignment="1">
      <alignment vertical="center"/>
    </xf>
    <xf numFmtId="166" fontId="0" fillId="0" borderId="8" xfId="0" applyNumberFormat="1" applyBorder="1" applyAlignment="1">
      <alignment vertical="center"/>
    </xf>
    <xf numFmtId="0" fontId="0" fillId="0" borderId="5" xfId="0" applyBorder="1" applyAlignment="1">
      <alignment vertical="center"/>
    </xf>
    <xf numFmtId="0" fontId="0" fillId="0" borderId="12" xfId="0" applyBorder="1" applyAlignment="1">
      <alignment vertical="center"/>
    </xf>
    <xf numFmtId="166" fontId="0" fillId="0" borderId="7" xfId="0" applyNumberFormat="1" applyBorder="1"/>
    <xf numFmtId="0" fontId="0" fillId="0" borderId="13" xfId="0" applyBorder="1" applyAlignment="1">
      <alignment vertical="center" wrapText="1"/>
    </xf>
    <xf numFmtId="0" fontId="0" fillId="0" borderId="15" xfId="0" applyBorder="1" applyAlignment="1">
      <alignment vertical="center" wrapText="1"/>
    </xf>
    <xf numFmtId="0" fontId="0" fillId="0" borderId="9" xfId="0" applyBorder="1" applyAlignment="1">
      <alignment vertical="center" wrapText="1"/>
    </xf>
    <xf numFmtId="166" fontId="0" fillId="0" borderId="9" xfId="0" applyNumberFormat="1" applyBorder="1" applyAlignment="1">
      <alignment vertical="center" wrapText="1"/>
    </xf>
    <xf numFmtId="0" fontId="0" fillId="0" borderId="10" xfId="0" applyBorder="1" applyAlignment="1">
      <alignment vertical="center" wrapText="1"/>
    </xf>
    <xf numFmtId="166" fontId="0" fillId="0" borderId="10" xfId="0" applyNumberFormat="1" applyBorder="1" applyAlignment="1">
      <alignment vertical="center" wrapText="1"/>
    </xf>
    <xf numFmtId="0" fontId="0" fillId="0" borderId="12" xfId="0" applyBorder="1" applyAlignment="1">
      <alignment vertical="center" wrapText="1"/>
    </xf>
    <xf numFmtId="166" fontId="0" fillId="0" borderId="12" xfId="0" applyNumberFormat="1" applyBorder="1" applyAlignment="1">
      <alignment vertical="center" wrapText="1"/>
    </xf>
    <xf numFmtId="0" fontId="5" fillId="4" borderId="8" xfId="0" applyFont="1" applyFill="1" applyBorder="1"/>
    <xf numFmtId="0" fontId="0" fillId="5" borderId="2" xfId="0" applyFill="1" applyBorder="1"/>
    <xf numFmtId="0" fontId="0" fillId="5" borderId="11" xfId="0" applyFill="1" applyBorder="1"/>
    <xf numFmtId="0" fontId="0" fillId="0" borderId="0" xfId="0" applyAlignment="1">
      <alignment vertical="center"/>
    </xf>
    <xf numFmtId="0" fontId="0" fillId="5" borderId="11" xfId="0" applyFill="1" applyBorder="1" applyAlignment="1">
      <alignment vertical="center"/>
    </xf>
    <xf numFmtId="10" fontId="0" fillId="0" borderId="8" xfId="0" applyNumberFormat="1" applyBorder="1" applyAlignment="1">
      <alignment vertical="center"/>
    </xf>
    <xf numFmtId="0" fontId="2" fillId="0" borderId="0" xfId="0" applyFont="1" applyAlignment="1">
      <alignment horizontal="left" vertical="center" wrapText="1" indent="2"/>
    </xf>
    <xf numFmtId="166" fontId="0" fillId="0" borderId="13" xfId="0" applyNumberFormat="1" applyBorder="1"/>
    <xf numFmtId="166" fontId="0" fillId="0" borderId="14" xfId="0" applyNumberFormat="1" applyBorder="1"/>
    <xf numFmtId="166" fontId="0" fillId="0" borderId="15" xfId="0" applyNumberFormat="1" applyBorder="1"/>
    <xf numFmtId="166" fontId="0" fillId="5" borderId="2" xfId="0" applyNumberFormat="1" applyFill="1" applyBorder="1"/>
    <xf numFmtId="166" fontId="0" fillId="5" borderId="11" xfId="0" applyNumberFormat="1" applyFill="1" applyBorder="1"/>
    <xf numFmtId="164" fontId="7" fillId="5" borderId="12" xfId="0" applyNumberFormat="1" applyFont="1" applyFill="1" applyBorder="1" applyAlignment="1">
      <alignment horizontal="left" indent="1"/>
    </xf>
    <xf numFmtId="164" fontId="7" fillId="5" borderId="5" xfId="0" applyNumberFormat="1" applyFont="1" applyFill="1" applyBorder="1"/>
    <xf numFmtId="164" fontId="7" fillId="5" borderId="6" xfId="0" applyNumberFormat="1" applyFont="1" applyFill="1" applyBorder="1"/>
    <xf numFmtId="164" fontId="7" fillId="5" borderId="7" xfId="0" applyNumberFormat="1" applyFont="1" applyFill="1" applyBorder="1"/>
    <xf numFmtId="166" fontId="0" fillId="5" borderId="5" xfId="0" applyNumberFormat="1" applyFill="1" applyBorder="1"/>
    <xf numFmtId="9" fontId="0" fillId="0" borderId="6" xfId="0" applyNumberFormat="1" applyBorder="1"/>
    <xf numFmtId="9" fontId="0" fillId="0" borderId="7" xfId="0" applyNumberFormat="1" applyBorder="1"/>
    <xf numFmtId="9" fontId="0" fillId="0" borderId="5" xfId="0" applyNumberFormat="1" applyBorder="1"/>
    <xf numFmtId="166" fontId="0" fillId="5" borderId="13" xfId="0" applyNumberFormat="1" applyFill="1" applyBorder="1"/>
    <xf numFmtId="166" fontId="0" fillId="5" borderId="14" xfId="0" applyNumberFormat="1" applyFill="1" applyBorder="1"/>
    <xf numFmtId="10" fontId="0" fillId="0" borderId="5" xfId="0" applyNumberFormat="1" applyBorder="1"/>
    <xf numFmtId="10" fontId="0" fillId="5" borderId="5" xfId="0" applyNumberFormat="1" applyFill="1" applyBorder="1"/>
    <xf numFmtId="10" fontId="0" fillId="5" borderId="6" xfId="0" applyNumberFormat="1" applyFill="1" applyBorder="1"/>
    <xf numFmtId="10" fontId="0" fillId="5" borderId="2" xfId="0" applyNumberFormat="1" applyFill="1" applyBorder="1"/>
    <xf numFmtId="10" fontId="0" fillId="5" borderId="11" xfId="0" applyNumberFormat="1" applyFill="1" applyBorder="1"/>
    <xf numFmtId="10" fontId="0" fillId="5" borderId="13" xfId="0" applyNumberFormat="1" applyFill="1" applyBorder="1"/>
    <xf numFmtId="9" fontId="0" fillId="0" borderId="10" xfId="0" applyNumberFormat="1" applyBorder="1"/>
    <xf numFmtId="9" fontId="0" fillId="0" borderId="12" xfId="0" applyNumberFormat="1" applyBorder="1"/>
    <xf numFmtId="0" fontId="12" fillId="0" borderId="2" xfId="0" applyFont="1" applyBorder="1" applyAlignment="1">
      <alignment vertical="center"/>
    </xf>
    <xf numFmtId="2" fontId="0" fillId="0" borderId="4" xfId="0" applyNumberFormat="1" applyBorder="1" applyAlignment="1">
      <alignment vertical="center"/>
    </xf>
    <xf numFmtId="0" fontId="0" fillId="0" borderId="0" xfId="0" applyAlignment="1">
      <alignment horizontal="left" vertical="top" wrapText="1"/>
    </xf>
    <xf numFmtId="166" fontId="0" fillId="0" borderId="10" xfId="0" applyNumberFormat="1" applyBorder="1"/>
    <xf numFmtId="166" fontId="0" fillId="0" borderId="5" xfId="0" applyNumberFormat="1" applyBorder="1"/>
    <xf numFmtId="166" fontId="0" fillId="0" borderId="12" xfId="0" applyNumberFormat="1" applyBorder="1"/>
    <xf numFmtId="2" fontId="0" fillId="0" borderId="7" xfId="0" applyNumberFormat="1" applyBorder="1"/>
    <xf numFmtId="2" fontId="0" fillId="0" borderId="15" xfId="0" applyNumberFormat="1" applyBorder="1"/>
    <xf numFmtId="0" fontId="0" fillId="2" borderId="9" xfId="0" applyFill="1" applyBorder="1"/>
    <xf numFmtId="0" fontId="5" fillId="4" borderId="9" xfId="0" applyFont="1" applyFill="1" applyBorder="1" applyAlignment="1">
      <alignment horizontal="left" wrapText="1"/>
    </xf>
    <xf numFmtId="2" fontId="0" fillId="0" borderId="8" xfId="0" applyNumberFormat="1" applyBorder="1" applyAlignment="1">
      <alignment vertical="center"/>
    </xf>
    <xf numFmtId="0" fontId="0" fillId="0" borderId="10" xfId="0" applyBorder="1" applyAlignment="1">
      <alignment horizontal="left" vertical="top" wrapText="1"/>
    </xf>
    <xf numFmtId="0" fontId="0" fillId="0" borderId="10" xfId="0" applyBorder="1" applyAlignment="1">
      <alignment wrapText="1"/>
    </xf>
    <xf numFmtId="0" fontId="0" fillId="2" borderId="10" xfId="0" applyFill="1" applyBorder="1"/>
    <xf numFmtId="0" fontId="0" fillId="2" borderId="8" xfId="0" applyFill="1" applyBorder="1"/>
    <xf numFmtId="0" fontId="5" fillId="4" borderId="10" xfId="0" applyFont="1" applyFill="1" applyBorder="1" applyAlignment="1">
      <alignment horizontal="left" wrapText="1"/>
    </xf>
    <xf numFmtId="167" fontId="0" fillId="0" borderId="8" xfId="0" applyNumberFormat="1" applyBorder="1" applyAlignment="1">
      <alignment vertical="center"/>
    </xf>
    <xf numFmtId="9" fontId="0" fillId="0" borderId="8" xfId="0" applyNumberFormat="1" applyBorder="1" applyAlignment="1">
      <alignment vertical="center"/>
    </xf>
    <xf numFmtId="0" fontId="0" fillId="0" borderId="8" xfId="0" applyBorder="1" applyAlignment="1">
      <alignment vertical="center"/>
    </xf>
    <xf numFmtId="0" fontId="0" fillId="0" borderId="12" xfId="0" applyBorder="1" applyAlignment="1">
      <alignment horizontal="left" vertical="top" wrapText="1"/>
    </xf>
    <xf numFmtId="0" fontId="12" fillId="0" borderId="0" xfId="0" applyFont="1" applyAlignment="1">
      <alignment horizontal="center"/>
    </xf>
    <xf numFmtId="0" fontId="5" fillId="4" borderId="1" xfId="0" applyFont="1" applyFill="1" applyBorder="1" applyAlignment="1">
      <alignment horizontal="left" wrapText="1"/>
    </xf>
    <xf numFmtId="168" fontId="0" fillId="0" borderId="2" xfId="0" applyNumberFormat="1" applyBorder="1"/>
    <xf numFmtId="168" fontId="0" fillId="0" borderId="3" xfId="0" applyNumberFormat="1" applyBorder="1"/>
    <xf numFmtId="168" fontId="0" fillId="0" borderId="4" xfId="0" applyNumberFormat="1" applyBorder="1"/>
    <xf numFmtId="168" fontId="0" fillId="0" borderId="0" xfId="0" applyNumberFormat="1"/>
    <xf numFmtId="0" fontId="0" fillId="0" borderId="0" xfId="0" applyAlignment="1">
      <alignment vertical="center" wrapText="1"/>
    </xf>
    <xf numFmtId="9" fontId="0" fillId="0" borderId="11" xfId="0" applyNumberFormat="1" applyBorder="1"/>
    <xf numFmtId="9" fontId="0" fillId="0" borderId="0" xfId="0" applyNumberFormat="1"/>
    <xf numFmtId="168" fontId="0" fillId="0" borderId="11" xfId="0" applyNumberFormat="1" applyBorder="1"/>
    <xf numFmtId="168" fontId="0" fillId="0" borderId="8" xfId="0" applyNumberFormat="1" applyBorder="1"/>
    <xf numFmtId="168" fontId="0" fillId="0" borderId="13" xfId="0" applyNumberFormat="1" applyBorder="1"/>
    <xf numFmtId="168" fontId="0" fillId="0" borderId="14" xfId="0" applyNumberFormat="1" applyBorder="1"/>
    <xf numFmtId="168" fontId="0" fillId="0" borderId="15" xfId="0" applyNumberFormat="1" applyBorder="1"/>
    <xf numFmtId="0" fontId="0" fillId="0" borderId="0" xfId="0" applyAlignment="1">
      <alignment horizontal="center"/>
    </xf>
    <xf numFmtId="168" fontId="0" fillId="0" borderId="10" xfId="0" applyNumberFormat="1" applyBorder="1"/>
    <xf numFmtId="168" fontId="0" fillId="0" borderId="12" xfId="0" applyNumberFormat="1" applyBorder="1"/>
    <xf numFmtId="2" fontId="0" fillId="0" borderId="10" xfId="0" applyNumberFormat="1" applyBorder="1"/>
    <xf numFmtId="0" fontId="8" fillId="0" borderId="0" xfId="0" applyFont="1"/>
    <xf numFmtId="169" fontId="0" fillId="0" borderId="11" xfId="0" applyNumberFormat="1" applyBorder="1"/>
    <xf numFmtId="169" fontId="0" fillId="0" borderId="0" xfId="0" applyNumberFormat="1"/>
    <xf numFmtId="169" fontId="0" fillId="0" borderId="8" xfId="0" applyNumberFormat="1" applyBorder="1"/>
    <xf numFmtId="169" fontId="0" fillId="0" borderId="10" xfId="0" applyNumberFormat="1" applyBorder="1"/>
    <xf numFmtId="0" fontId="13" fillId="0" borderId="10" xfId="0" applyFont="1" applyBorder="1"/>
    <xf numFmtId="0" fontId="13" fillId="0" borderId="0" xfId="0" applyFont="1"/>
    <xf numFmtId="0" fontId="0" fillId="0" borderId="10" xfId="0" applyBorder="1" applyAlignment="1">
      <alignment horizontal="center"/>
    </xf>
    <xf numFmtId="168" fontId="0" fillId="0" borderId="7" xfId="0" applyNumberFormat="1" applyBorder="1"/>
    <xf numFmtId="10" fontId="0" fillId="0" borderId="13" xfId="0" applyNumberFormat="1" applyBorder="1"/>
    <xf numFmtId="10" fontId="0" fillId="0" borderId="14" xfId="0" applyNumberFormat="1" applyBorder="1"/>
    <xf numFmtId="10" fontId="0" fillId="0" borderId="15" xfId="0" applyNumberFormat="1" applyBorder="1"/>
    <xf numFmtId="0" fontId="0" fillId="0" borderId="1" xfId="0" applyBorder="1" applyAlignment="1">
      <alignment horizontal="center" vertical="center"/>
    </xf>
    <xf numFmtId="10" fontId="0" fillId="0" borderId="9" xfId="0" applyNumberFormat="1" applyBorder="1"/>
    <xf numFmtId="166" fontId="0" fillId="0" borderId="6" xfId="0" applyNumberFormat="1" applyBorder="1"/>
    <xf numFmtId="165" fontId="0" fillId="0" borderId="9" xfId="0" applyNumberFormat="1" applyBorder="1"/>
    <xf numFmtId="165" fontId="0" fillId="0" borderId="10" xfId="0" applyNumberFormat="1" applyBorder="1"/>
    <xf numFmtId="165" fontId="0" fillId="0" borderId="12" xfId="0" applyNumberFormat="1" applyBorder="1"/>
    <xf numFmtId="0" fontId="0" fillId="0" borderId="0" xfId="0" applyAlignment="1">
      <alignment horizontal="left" indent="1"/>
    </xf>
    <xf numFmtId="0" fontId="0" fillId="0" borderId="6" xfId="0" applyBorder="1" applyAlignment="1">
      <alignment horizontal="left" indent="1"/>
    </xf>
    <xf numFmtId="0" fontId="0" fillId="0" borderId="8" xfId="0" applyBorder="1" applyAlignment="1">
      <alignment horizontal="left" wrapText="1" indent="1"/>
    </xf>
    <xf numFmtId="0" fontId="0" fillId="0" borderId="8" xfId="0" applyBorder="1" applyAlignment="1">
      <alignment horizontal="left" indent="1"/>
    </xf>
    <xf numFmtId="0" fontId="0" fillId="0" borderId="7" xfId="0" applyBorder="1" applyAlignment="1">
      <alignment horizontal="left" indent="1"/>
    </xf>
    <xf numFmtId="10" fontId="0" fillId="0" borderId="1" xfId="0" applyNumberFormat="1" applyBorder="1" applyAlignment="1">
      <alignment horizontal="center" vertical="center"/>
    </xf>
    <xf numFmtId="0" fontId="0" fillId="0" borderId="15" xfId="0" applyBorder="1" applyAlignment="1">
      <alignment horizontal="left" wrapText="1" indent="1"/>
    </xf>
    <xf numFmtId="167" fontId="0" fillId="0" borderId="1" xfId="0" applyNumberFormat="1" applyBorder="1" applyAlignment="1">
      <alignment horizontal="center" vertical="center"/>
    </xf>
    <xf numFmtId="167" fontId="0" fillId="0" borderId="9" xfId="0" applyNumberFormat="1" applyBorder="1" applyAlignment="1">
      <alignment horizontal="center" vertical="center"/>
    </xf>
    <xf numFmtId="0" fontId="0" fillId="0" borderId="4" xfId="0" applyBorder="1" applyAlignment="1">
      <alignment horizontal="left" wrapText="1" indent="1"/>
    </xf>
    <xf numFmtId="0" fontId="0" fillId="0" borderId="6" xfId="0" applyBorder="1" applyAlignment="1">
      <alignment horizontal="center"/>
    </xf>
    <xf numFmtId="0" fontId="0" fillId="0" borderId="9"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167" fontId="0" fillId="0" borderId="1" xfId="0" applyNumberFormat="1" applyBorder="1" applyAlignment="1">
      <alignment horizontal="center" vertical="center"/>
    </xf>
    <xf numFmtId="0" fontId="0" fillId="0" borderId="1" xfId="0" applyBorder="1" applyAlignment="1">
      <alignment horizont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Q39"/>
  <sheetViews>
    <sheetView showGridLines="0" topLeftCell="A10" zoomScaleNormal="100" workbookViewId="0">
      <selection activeCell="O11" sqref="O11"/>
    </sheetView>
  </sheetViews>
  <sheetFormatPr defaultColWidth="8.5546875" defaultRowHeight="14.4"/>
  <cols>
    <col min="1" max="1" width="4" customWidth="1"/>
    <col min="2" max="2" width="31.77734375" customWidth="1"/>
    <col min="3" max="6" width="9.44140625" customWidth="1"/>
    <col min="7" max="9" width="10.44140625" customWidth="1"/>
    <col min="10" max="14" width="11.109375" customWidth="1"/>
    <col min="16" max="16" width="17.6640625" customWidth="1"/>
    <col min="17" max="17" width="137.6640625" style="13" customWidth="1"/>
  </cols>
  <sheetData>
    <row r="2" spans="2:17" ht="14.25" customHeight="1">
      <c r="B2" s="12" t="s">
        <v>0</v>
      </c>
      <c r="C2" s="14" t="s">
        <v>1</v>
      </c>
      <c r="D2" s="15" t="s">
        <v>1</v>
      </c>
      <c r="E2" s="15" t="s">
        <v>1</v>
      </c>
      <c r="F2" s="15" t="s">
        <v>1</v>
      </c>
      <c r="G2" s="15" t="s">
        <v>1</v>
      </c>
      <c r="H2" s="15" t="s">
        <v>1</v>
      </c>
      <c r="I2" s="16" t="s">
        <v>1</v>
      </c>
      <c r="J2" s="17" t="s">
        <v>2</v>
      </c>
      <c r="K2" s="17" t="s">
        <v>2</v>
      </c>
      <c r="L2" s="17" t="s">
        <v>2</v>
      </c>
      <c r="M2" s="17" t="s">
        <v>2</v>
      </c>
      <c r="N2" s="18" t="s">
        <v>2</v>
      </c>
      <c r="P2" s="19" t="s">
        <v>3</v>
      </c>
      <c r="Q2" s="20" t="s">
        <v>4</v>
      </c>
    </row>
    <row r="3" spans="2:17" ht="14.25" customHeight="1">
      <c r="B3" s="12"/>
      <c r="C3" s="21">
        <v>2019</v>
      </c>
      <c r="D3" s="22">
        <v>2020</v>
      </c>
      <c r="E3" s="22">
        <v>2021</v>
      </c>
      <c r="F3" s="22">
        <v>2022</v>
      </c>
      <c r="G3" s="22">
        <v>2023</v>
      </c>
      <c r="H3" s="22">
        <v>2024</v>
      </c>
      <c r="I3" s="23">
        <v>2025</v>
      </c>
      <c r="J3" s="22">
        <v>2026</v>
      </c>
      <c r="K3" s="22">
        <v>2027</v>
      </c>
      <c r="L3" s="22">
        <v>2028</v>
      </c>
      <c r="M3" s="22">
        <v>2029</v>
      </c>
      <c r="N3" s="23">
        <v>2030</v>
      </c>
      <c r="P3" s="24"/>
    </row>
    <row r="4" spans="2:17" s="25" customFormat="1" ht="14.25" customHeight="1">
      <c r="B4" s="26" t="s">
        <v>5</v>
      </c>
      <c r="C4" s="27">
        <v>2997.42</v>
      </c>
      <c r="D4" s="28">
        <v>3507.93</v>
      </c>
      <c r="E4" s="28">
        <v>5624.82</v>
      </c>
      <c r="F4" s="28">
        <v>8929</v>
      </c>
      <c r="G4" s="28">
        <v>11856</v>
      </c>
      <c r="H4" s="28">
        <v>14780</v>
      </c>
      <c r="I4" s="29">
        <v>17141</v>
      </c>
      <c r="J4" s="27">
        <f>I4*(1+J5)</f>
        <v>20740.61</v>
      </c>
      <c r="K4" s="28">
        <f>J4*(1+K5)</f>
        <v>24785.028950000004</v>
      </c>
      <c r="L4" s="28">
        <f>K4*(1+L5)</f>
        <v>29246.334161000002</v>
      </c>
      <c r="M4" s="28">
        <f>L4*(1+M5)</f>
        <v>34071.979297565005</v>
      </c>
      <c r="N4" s="29">
        <f>M4*(1+N5)</f>
        <v>39182.776192199752</v>
      </c>
      <c r="P4" s="30"/>
      <c r="Q4" s="31" t="s">
        <v>6</v>
      </c>
    </row>
    <row r="5" spans="2:17" s="32" customFormat="1" ht="14.25" customHeight="1">
      <c r="B5" s="33" t="s">
        <v>7</v>
      </c>
      <c r="C5" s="34">
        <v>0</v>
      </c>
      <c r="D5" s="32">
        <f t="shared" ref="D5:I5" si="0">(D4-C4)/C4</f>
        <v>0.17031647216606274</v>
      </c>
      <c r="E5" s="32">
        <f t="shared" si="0"/>
        <v>0.60345844985504271</v>
      </c>
      <c r="F5" s="32">
        <f t="shared" si="0"/>
        <v>0.58742857549219363</v>
      </c>
      <c r="G5" s="32">
        <f t="shared" si="0"/>
        <v>0.32780826520327022</v>
      </c>
      <c r="H5" s="32">
        <f t="shared" si="0"/>
        <v>0.24662618083670715</v>
      </c>
      <c r="I5" s="35">
        <f t="shared" si="0"/>
        <v>0.15974289580514209</v>
      </c>
      <c r="J5" s="34">
        <v>0.21</v>
      </c>
      <c r="K5" s="32">
        <f>J5-0.015</f>
        <v>0.19500000000000001</v>
      </c>
      <c r="L5" s="32">
        <f>K5-0.015</f>
        <v>0.18</v>
      </c>
      <c r="M5" s="32">
        <f>L5-0.015</f>
        <v>0.16499999999999998</v>
      </c>
      <c r="N5" s="35">
        <f>M5-0.015</f>
        <v>0.14999999999999997</v>
      </c>
      <c r="P5" s="35"/>
      <c r="Q5" s="36"/>
    </row>
    <row r="6" spans="2:17" s="25" customFormat="1" ht="14.25" customHeight="1">
      <c r="B6" s="37" t="s">
        <v>8</v>
      </c>
      <c r="C6" s="38">
        <v>0</v>
      </c>
      <c r="D6" s="25">
        <v>0</v>
      </c>
      <c r="E6" s="25">
        <v>0</v>
      </c>
      <c r="F6" s="25">
        <v>0</v>
      </c>
      <c r="G6" s="25">
        <v>0</v>
      </c>
      <c r="H6" s="25">
        <v>0</v>
      </c>
      <c r="I6" s="30">
        <v>0</v>
      </c>
      <c r="J6" s="38">
        <v>0</v>
      </c>
      <c r="K6" s="25">
        <v>0</v>
      </c>
      <c r="L6" s="25">
        <v>0</v>
      </c>
      <c r="M6" s="25">
        <v>0</v>
      </c>
      <c r="N6" s="30">
        <v>0</v>
      </c>
      <c r="P6" s="30"/>
      <c r="Q6" s="39" t="s">
        <v>9</v>
      </c>
    </row>
    <row r="7" spans="2:17" s="32" customFormat="1" ht="14.25" customHeight="1">
      <c r="B7" s="33" t="s">
        <v>10</v>
      </c>
      <c r="C7" s="34">
        <v>1</v>
      </c>
      <c r="D7" s="32">
        <v>1</v>
      </c>
      <c r="E7" s="32">
        <v>1</v>
      </c>
      <c r="F7" s="32">
        <v>1</v>
      </c>
      <c r="G7" s="32">
        <v>1</v>
      </c>
      <c r="H7" s="32">
        <v>1</v>
      </c>
      <c r="I7" s="35">
        <v>1</v>
      </c>
      <c r="J7" s="34">
        <v>1</v>
      </c>
      <c r="K7" s="32">
        <v>1</v>
      </c>
      <c r="L7" s="32">
        <v>1</v>
      </c>
      <c r="M7" s="32">
        <v>1</v>
      </c>
      <c r="N7" s="35">
        <v>1</v>
      </c>
      <c r="P7" s="35"/>
      <c r="Q7" s="36"/>
    </row>
    <row r="8" spans="2:17" s="25" customFormat="1" ht="14.25" customHeight="1">
      <c r="B8" s="37" t="s">
        <v>11</v>
      </c>
      <c r="C8" s="38">
        <v>0</v>
      </c>
      <c r="D8" s="25">
        <v>0</v>
      </c>
      <c r="E8" s="25">
        <v>0</v>
      </c>
      <c r="F8" s="25">
        <v>0</v>
      </c>
      <c r="G8" s="25">
        <v>0</v>
      </c>
      <c r="H8" s="25">
        <v>0</v>
      </c>
      <c r="I8" s="30">
        <v>0</v>
      </c>
      <c r="J8" s="38">
        <v>0</v>
      </c>
      <c r="K8" s="25">
        <v>0</v>
      </c>
      <c r="L8" s="25">
        <v>0</v>
      </c>
      <c r="M8" s="25">
        <v>0</v>
      </c>
      <c r="N8" s="30">
        <v>0</v>
      </c>
      <c r="P8" s="30"/>
      <c r="Q8" s="39" t="s">
        <v>12</v>
      </c>
    </row>
    <row r="9" spans="2:17" s="25" customFormat="1" ht="14.25" customHeight="1">
      <c r="B9" s="37"/>
      <c r="C9" s="38"/>
      <c r="I9" s="30"/>
      <c r="J9" s="38"/>
      <c r="N9" s="30"/>
      <c r="P9" s="30"/>
      <c r="Q9" s="39"/>
    </row>
    <row r="10" spans="2:17" s="25" customFormat="1" ht="14.25" customHeight="1">
      <c r="B10" s="40" t="s">
        <v>13</v>
      </c>
      <c r="C10" s="38"/>
      <c r="F10" s="25">
        <v>689</v>
      </c>
      <c r="G10" s="25">
        <v>366</v>
      </c>
      <c r="H10" s="25">
        <v>460</v>
      </c>
      <c r="I10" s="30">
        <v>672</v>
      </c>
      <c r="J10" s="38">
        <f>J4*$P$10</f>
        <v>725.92135000000007</v>
      </c>
      <c r="K10" s="25">
        <f>K4*$P$10</f>
        <v>867.47601325000016</v>
      </c>
      <c r="L10" s="25">
        <f>L4*$P$10</f>
        <v>1023.6216956350002</v>
      </c>
      <c r="M10" s="25">
        <f>M4*$P$10</f>
        <v>1192.5192754147754</v>
      </c>
      <c r="N10" s="30">
        <f>N4*$P$10</f>
        <v>1371.3971667269914</v>
      </c>
      <c r="P10" s="35">
        <v>3.5000000000000003E-2</v>
      </c>
      <c r="Q10" s="41" t="s">
        <v>14</v>
      </c>
    </row>
    <row r="11" spans="2:17" s="25" customFormat="1" ht="14.25" customHeight="1">
      <c r="B11" s="40" t="s">
        <v>15</v>
      </c>
      <c r="C11" s="38"/>
      <c r="F11" s="25">
        <v>1740</v>
      </c>
      <c r="G11" s="25">
        <v>1859</v>
      </c>
      <c r="H11" s="25">
        <v>2709</v>
      </c>
      <c r="I11" s="30">
        <v>3588</v>
      </c>
      <c r="J11" s="38">
        <f>J4*$P$11</f>
        <v>4071.3817430000004</v>
      </c>
      <c r="K11" s="25">
        <f>K4*$P$11</f>
        <v>4865.3011828850003</v>
      </c>
      <c r="L11" s="25">
        <f>L4*$P$11</f>
        <v>5741.0553958043001</v>
      </c>
      <c r="M11" s="25">
        <f>M4*$P$11</f>
        <v>6688.3295361120108</v>
      </c>
      <c r="N11" s="30">
        <f>N4*$P$11</f>
        <v>7691.5789665288112</v>
      </c>
      <c r="P11" s="35">
        <v>0.1963</v>
      </c>
      <c r="Q11" s="31" t="s">
        <v>6</v>
      </c>
    </row>
    <row r="12" spans="2:17" s="25" customFormat="1" ht="14.25" customHeight="1">
      <c r="B12" s="37" t="s">
        <v>16</v>
      </c>
      <c r="C12" s="38">
        <v>1073.1199999999999</v>
      </c>
      <c r="D12" s="25">
        <v>1241.98</v>
      </c>
      <c r="E12" s="25">
        <v>1484.12</v>
      </c>
      <c r="F12" s="25">
        <f t="shared" ref="F12:N12" si="1">SUM(F10:F11)</f>
        <v>2429</v>
      </c>
      <c r="G12" s="25">
        <f t="shared" si="1"/>
        <v>2225</v>
      </c>
      <c r="H12" s="25">
        <f t="shared" si="1"/>
        <v>3169</v>
      </c>
      <c r="I12" s="30">
        <f t="shared" si="1"/>
        <v>4260</v>
      </c>
      <c r="J12" s="38">
        <f t="shared" si="1"/>
        <v>4797.3030930000004</v>
      </c>
      <c r="K12" s="25">
        <f t="shared" si="1"/>
        <v>5732.7771961350008</v>
      </c>
      <c r="L12" s="25">
        <f t="shared" si="1"/>
        <v>6764.6770914393001</v>
      </c>
      <c r="M12" s="25">
        <f t="shared" si="1"/>
        <v>7880.8488115267864</v>
      </c>
      <c r="N12" s="30">
        <f t="shared" si="1"/>
        <v>9062.9761332558028</v>
      </c>
      <c r="P12" s="30"/>
      <c r="Q12" s="39" t="s">
        <v>17</v>
      </c>
    </row>
    <row r="13" spans="2:17" s="25" customFormat="1" ht="14.25" customHeight="1">
      <c r="B13" s="37"/>
      <c r="C13" s="38"/>
      <c r="I13" s="30"/>
      <c r="J13" s="38"/>
      <c r="N13" s="30"/>
      <c r="P13" s="30"/>
      <c r="Q13" s="39"/>
    </row>
    <row r="14" spans="2:17" s="32" customFormat="1" ht="14.25" customHeight="1">
      <c r="B14" s="33" t="s">
        <v>18</v>
      </c>
      <c r="C14" s="34">
        <v>0</v>
      </c>
      <c r="D14" s="32">
        <f t="shared" ref="D14:N14" si="2">(D12-C12)/C12</f>
        <v>0.15735425674668271</v>
      </c>
      <c r="E14" s="32">
        <f t="shared" si="2"/>
        <v>0.19496288184994917</v>
      </c>
      <c r="F14" s="32">
        <f t="shared" si="2"/>
        <v>0.63666010834703401</v>
      </c>
      <c r="G14" s="32">
        <f t="shared" si="2"/>
        <v>-8.3985179086043638E-2</v>
      </c>
      <c r="H14" s="32">
        <f t="shared" si="2"/>
        <v>0.42426966292134832</v>
      </c>
      <c r="I14" s="35">
        <f t="shared" si="2"/>
        <v>0.34427264121173873</v>
      </c>
      <c r="J14" s="34">
        <f t="shared" si="2"/>
        <v>0.12612748661971843</v>
      </c>
      <c r="K14" s="32">
        <f t="shared" si="2"/>
        <v>0.19500000000000006</v>
      </c>
      <c r="L14" s="32">
        <f t="shared" si="2"/>
        <v>0.17999999999999983</v>
      </c>
      <c r="M14" s="32">
        <f t="shared" si="2"/>
        <v>0.16500000000000029</v>
      </c>
      <c r="N14" s="35">
        <f t="shared" si="2"/>
        <v>0.1499999999999998</v>
      </c>
      <c r="P14" s="35"/>
      <c r="Q14" s="36"/>
    </row>
    <row r="15" spans="2:17" s="25" customFormat="1" ht="14.25" customHeight="1">
      <c r="B15" s="37" t="s">
        <v>19</v>
      </c>
      <c r="C15" s="38">
        <v>1924.3</v>
      </c>
      <c r="D15" s="25">
        <v>2266.0100000000002</v>
      </c>
      <c r="E15" s="25">
        <v>4140.7</v>
      </c>
      <c r="F15" s="25">
        <v>6500</v>
      </c>
      <c r="G15" s="25">
        <v>9631</v>
      </c>
      <c r="H15" s="25">
        <v>11611</v>
      </c>
      <c r="I15" s="30">
        <v>12881</v>
      </c>
      <c r="J15" s="38">
        <f>J4-J12</f>
        <v>15943.306907</v>
      </c>
      <c r="K15" s="25">
        <f>K4-K12</f>
        <v>19052.251753865003</v>
      </c>
      <c r="L15" s="25">
        <f>L4-L12</f>
        <v>22481.657069560701</v>
      </c>
      <c r="M15" s="25">
        <f>M4-M12</f>
        <v>26191.130486038219</v>
      </c>
      <c r="N15" s="30">
        <f>N4-N12</f>
        <v>30119.800058943947</v>
      </c>
      <c r="P15" s="30"/>
      <c r="Q15" s="39" t="s">
        <v>20</v>
      </c>
    </row>
    <row r="16" spans="2:17" s="25" customFormat="1" ht="14.25" customHeight="1">
      <c r="B16" s="42" t="s">
        <v>21</v>
      </c>
      <c r="C16" s="43">
        <f t="shared" ref="C16:N16" si="3">C15-(C4-C12)</f>
        <v>0</v>
      </c>
      <c r="D16" s="44">
        <f t="shared" si="3"/>
        <v>6.0000000000400178E-2</v>
      </c>
      <c r="E16" s="44">
        <f t="shared" si="3"/>
        <v>0</v>
      </c>
      <c r="F16" s="44">
        <f t="shared" si="3"/>
        <v>0</v>
      </c>
      <c r="G16" s="44">
        <f t="shared" si="3"/>
        <v>0</v>
      </c>
      <c r="H16" s="44">
        <f t="shared" si="3"/>
        <v>0</v>
      </c>
      <c r="I16" s="45">
        <f t="shared" si="3"/>
        <v>0</v>
      </c>
      <c r="J16" s="43">
        <f t="shared" si="3"/>
        <v>0</v>
      </c>
      <c r="K16" s="44">
        <f t="shared" si="3"/>
        <v>0</v>
      </c>
      <c r="L16" s="44">
        <f t="shared" si="3"/>
        <v>0</v>
      </c>
      <c r="M16" s="44">
        <f t="shared" si="3"/>
        <v>0</v>
      </c>
      <c r="N16" s="45">
        <f t="shared" si="3"/>
        <v>0</v>
      </c>
      <c r="P16" s="30"/>
      <c r="Q16" s="39"/>
    </row>
    <row r="17" spans="2:17" s="25" customFormat="1" ht="14.25" customHeight="1">
      <c r="B17" s="37"/>
      <c r="C17" s="38"/>
      <c r="I17" s="30"/>
      <c r="J17" s="38"/>
      <c r="N17" s="30"/>
      <c r="P17" s="30"/>
      <c r="Q17" s="39"/>
    </row>
    <row r="18" spans="2:17" s="32" customFormat="1" ht="14.25" customHeight="1">
      <c r="B18" s="33" t="s">
        <v>22</v>
      </c>
      <c r="C18" s="34">
        <f t="shared" ref="C18:N18" si="4">C15/C4</f>
        <v>0.64198544081243203</v>
      </c>
      <c r="D18" s="32">
        <f t="shared" si="4"/>
        <v>0.64596784998560419</v>
      </c>
      <c r="E18" s="32">
        <f t="shared" si="4"/>
        <v>0.73614800118048218</v>
      </c>
      <c r="F18" s="32">
        <f t="shared" si="4"/>
        <v>0.72796505767723152</v>
      </c>
      <c r="G18" s="32">
        <f t="shared" si="4"/>
        <v>0.81233130904183537</v>
      </c>
      <c r="H18" s="32">
        <f t="shared" si="4"/>
        <v>0.78558863328822737</v>
      </c>
      <c r="I18" s="35">
        <f t="shared" si="4"/>
        <v>0.7514730762499271</v>
      </c>
      <c r="J18" s="34">
        <f t="shared" si="4"/>
        <v>0.76869999999999994</v>
      </c>
      <c r="K18" s="32">
        <f t="shared" si="4"/>
        <v>0.76870000000000005</v>
      </c>
      <c r="L18" s="32">
        <f t="shared" si="4"/>
        <v>0.76869999999999994</v>
      </c>
      <c r="M18" s="32">
        <f t="shared" si="4"/>
        <v>0.76869999999999994</v>
      </c>
      <c r="N18" s="35">
        <f t="shared" si="4"/>
        <v>0.76869999999999994</v>
      </c>
      <c r="P18" s="35"/>
      <c r="Q18" s="36"/>
    </row>
    <row r="19" spans="2:17" s="25" customFormat="1" ht="14.25" customHeight="1">
      <c r="B19" s="37" t="s">
        <v>23</v>
      </c>
      <c r="C19" s="38">
        <v>142.02000000000001</v>
      </c>
      <c r="D19" s="25">
        <v>180.78</v>
      </c>
      <c r="E19" s="25">
        <v>226.01</v>
      </c>
      <c r="F19" s="25">
        <v>338</v>
      </c>
      <c r="G19" s="25">
        <v>384</v>
      </c>
      <c r="H19" s="25">
        <v>439</v>
      </c>
      <c r="I19" s="30">
        <v>546.59</v>
      </c>
      <c r="J19" s="38">
        <f>'FORCAST SCHEDULES'!J7</f>
        <v>737.83613639999999</v>
      </c>
      <c r="K19" s="25">
        <f>'FORCAST SCHEDULES'!K7</f>
        <v>915.00711528599993</v>
      </c>
      <c r="L19" s="25">
        <f>'FORCAST SCHEDULES'!L7</f>
        <v>1112.3045623872599</v>
      </c>
      <c r="M19" s="25">
        <f>'FORCAST SCHEDULES'!M7</f>
        <v>1330.3052731566049</v>
      </c>
      <c r="N19" s="30">
        <f>'FORCAST SCHEDULES'!N7</f>
        <v>1568.1784737403516</v>
      </c>
      <c r="P19" s="30"/>
      <c r="Q19" s="31" t="s">
        <v>24</v>
      </c>
    </row>
    <row r="20" spans="2:17" s="25" customFormat="1" ht="14.25" customHeight="1">
      <c r="B20" s="37" t="s">
        <v>25</v>
      </c>
      <c r="C20" s="38">
        <f t="shared" ref="C20:N20" si="5">C15-C19</f>
        <v>1782.28</v>
      </c>
      <c r="D20" s="25">
        <f t="shared" si="5"/>
        <v>2085.23</v>
      </c>
      <c r="E20" s="25">
        <f t="shared" si="5"/>
        <v>3914.6899999999996</v>
      </c>
      <c r="F20" s="25">
        <f t="shared" si="5"/>
        <v>6162</v>
      </c>
      <c r="G20" s="25">
        <f t="shared" si="5"/>
        <v>9247</v>
      </c>
      <c r="H20" s="25">
        <f t="shared" si="5"/>
        <v>11172</v>
      </c>
      <c r="I20" s="30">
        <f t="shared" si="5"/>
        <v>12334.41</v>
      </c>
      <c r="J20" s="38">
        <f t="shared" si="5"/>
        <v>15205.470770600001</v>
      </c>
      <c r="K20" s="25">
        <f t="shared" si="5"/>
        <v>18137.244638579003</v>
      </c>
      <c r="L20" s="25">
        <f t="shared" si="5"/>
        <v>21369.35250717344</v>
      </c>
      <c r="M20" s="25">
        <f t="shared" si="5"/>
        <v>24860.825212881613</v>
      </c>
      <c r="N20" s="30">
        <f t="shared" si="5"/>
        <v>28551.621585203597</v>
      </c>
      <c r="P20" s="30"/>
      <c r="Q20" s="39" t="s">
        <v>26</v>
      </c>
    </row>
    <row r="21" spans="2:17" s="32" customFormat="1" ht="14.25" customHeight="1">
      <c r="B21" s="33" t="s">
        <v>27</v>
      </c>
      <c r="C21" s="34">
        <f t="shared" ref="C21:N21" si="6">C20/C4</f>
        <v>0.59460469336963118</v>
      </c>
      <c r="D21" s="32">
        <f t="shared" si="6"/>
        <v>0.59443318424255909</v>
      </c>
      <c r="E21" s="32">
        <f t="shared" si="6"/>
        <v>0.69596715983800372</v>
      </c>
      <c r="F21" s="32">
        <f t="shared" si="6"/>
        <v>0.69011087467801546</v>
      </c>
      <c r="G21" s="32">
        <f t="shared" si="6"/>
        <v>0.77994264507422406</v>
      </c>
      <c r="H21" s="32">
        <f t="shared" si="6"/>
        <v>0.75588633288227336</v>
      </c>
      <c r="I21" s="35">
        <f t="shared" si="6"/>
        <v>0.71958520506388191</v>
      </c>
      <c r="J21" s="34">
        <f t="shared" si="6"/>
        <v>0.73312553346309484</v>
      </c>
      <c r="K21" s="32">
        <f t="shared" si="6"/>
        <v>0.73178226562365989</v>
      </c>
      <c r="L21" s="32">
        <f t="shared" si="6"/>
        <v>0.73066772709140004</v>
      </c>
      <c r="M21" s="32">
        <f t="shared" si="6"/>
        <v>0.7296560318894747</v>
      </c>
      <c r="N21" s="35">
        <f t="shared" si="6"/>
        <v>0.72867786205734608</v>
      </c>
      <c r="P21" s="35"/>
      <c r="Q21" s="36"/>
    </row>
    <row r="22" spans="2:17" s="25" customFormat="1" ht="14.25" customHeight="1">
      <c r="B22" s="42" t="s">
        <v>28</v>
      </c>
      <c r="C22" s="46">
        <f t="shared" ref="C22:N22" si="7">C20-(C15-C19)</f>
        <v>0</v>
      </c>
      <c r="D22" s="47">
        <f t="shared" si="7"/>
        <v>0</v>
      </c>
      <c r="E22" s="47">
        <f t="shared" si="7"/>
        <v>0</v>
      </c>
      <c r="F22" s="47">
        <f t="shared" si="7"/>
        <v>0</v>
      </c>
      <c r="G22" s="47">
        <f t="shared" si="7"/>
        <v>0</v>
      </c>
      <c r="H22" s="47">
        <f t="shared" si="7"/>
        <v>0</v>
      </c>
      <c r="I22" s="48">
        <f t="shared" si="7"/>
        <v>0</v>
      </c>
      <c r="J22" s="46">
        <f t="shared" si="7"/>
        <v>0</v>
      </c>
      <c r="K22" s="47">
        <f t="shared" si="7"/>
        <v>0</v>
      </c>
      <c r="L22" s="47">
        <f t="shared" si="7"/>
        <v>0</v>
      </c>
      <c r="M22" s="47">
        <f t="shared" si="7"/>
        <v>0</v>
      </c>
      <c r="N22" s="48">
        <f t="shared" si="7"/>
        <v>0</v>
      </c>
      <c r="P22" s="30"/>
      <c r="Q22" s="39"/>
    </row>
    <row r="23" spans="2:17" s="25" customFormat="1" ht="14.25" customHeight="1">
      <c r="B23" s="49"/>
      <c r="C23" s="50"/>
      <c r="D23" s="51"/>
      <c r="E23" s="51"/>
      <c r="F23" s="51"/>
      <c r="G23" s="51"/>
      <c r="H23" s="51"/>
      <c r="I23" s="52"/>
      <c r="J23" s="38"/>
      <c r="N23" s="30"/>
      <c r="P23" s="30"/>
      <c r="Q23" s="39"/>
    </row>
    <row r="24" spans="2:17" s="25" customFormat="1" ht="14.25" customHeight="1">
      <c r="B24" s="37" t="s">
        <v>29</v>
      </c>
      <c r="C24" s="38">
        <v>793.92</v>
      </c>
      <c r="D24" s="25">
        <v>502.16</v>
      </c>
      <c r="E24" s="25">
        <v>488.22</v>
      </c>
      <c r="F24" s="25">
        <v>736.42</v>
      </c>
      <c r="G24" s="25">
        <v>997.63</v>
      </c>
      <c r="H24" s="25">
        <v>1754.14</v>
      </c>
      <c r="I24" s="30">
        <v>2165.0100000000002</v>
      </c>
      <c r="J24" s="38">
        <f>I24*(1+$P$24)</f>
        <v>2691.9734340000005</v>
      </c>
      <c r="K24" s="25">
        <f>J24*(1+$P$24)</f>
        <v>3347.1997678356006</v>
      </c>
      <c r="L24" s="25">
        <f>K24*(1+$P$24)</f>
        <v>4161.9081913267864</v>
      </c>
      <c r="M24" s="25">
        <f>L24*(1+$P$24)</f>
        <v>5174.9166450957264</v>
      </c>
      <c r="N24" s="30">
        <f>M24*(1+$P$24)</f>
        <v>6434.4913565120269</v>
      </c>
      <c r="P24" s="35">
        <v>0.24340000000000001</v>
      </c>
      <c r="Q24" s="41" t="s">
        <v>30</v>
      </c>
    </row>
    <row r="25" spans="2:17" s="25" customFormat="1" ht="14.25" customHeight="1">
      <c r="B25" s="37" t="s">
        <v>31</v>
      </c>
      <c r="C25" s="38">
        <v>0</v>
      </c>
      <c r="D25" s="25">
        <v>62.08</v>
      </c>
      <c r="E25" s="25">
        <v>-62.08</v>
      </c>
      <c r="F25" s="25">
        <v>0</v>
      </c>
      <c r="G25" s="25">
        <v>203.45</v>
      </c>
      <c r="H25" s="25">
        <v>1741.97</v>
      </c>
      <c r="I25" s="30">
        <v>234.09</v>
      </c>
      <c r="J25" s="38">
        <v>0</v>
      </c>
      <c r="K25" s="25">
        <v>0</v>
      </c>
      <c r="L25" s="25">
        <v>0</v>
      </c>
      <c r="M25" s="25">
        <v>0</v>
      </c>
      <c r="N25" s="30">
        <v>0</v>
      </c>
      <c r="P25" s="30"/>
      <c r="Q25" s="31" t="s">
        <v>6</v>
      </c>
    </row>
    <row r="26" spans="2:17" s="25" customFormat="1" ht="14.25" customHeight="1">
      <c r="B26" s="37" t="s">
        <v>32</v>
      </c>
      <c r="C26" s="38">
        <v>2576.21</v>
      </c>
      <c r="D26" s="25">
        <v>2525.25</v>
      </c>
      <c r="E26" s="25">
        <v>4465.97</v>
      </c>
      <c r="F26" s="25">
        <v>6912</v>
      </c>
      <c r="G26" s="25">
        <v>10041</v>
      </c>
      <c r="H26" s="25">
        <v>11184</v>
      </c>
      <c r="I26" s="30">
        <f>15474.78+198</f>
        <v>15672.78</v>
      </c>
      <c r="J26" s="38">
        <f>J20+J24+J25</f>
        <v>17897.4442046</v>
      </c>
      <c r="K26" s="25">
        <f>K20+K24+K25</f>
        <v>21484.444406414605</v>
      </c>
      <c r="L26" s="25">
        <f>L20+L24+L25</f>
        <v>25531.260698500228</v>
      </c>
      <c r="M26" s="25">
        <f>M20+M24+M25</f>
        <v>30035.74185797734</v>
      </c>
      <c r="N26" s="30">
        <f>N20+N24+N25</f>
        <v>34986.112941715626</v>
      </c>
      <c r="P26" s="30"/>
      <c r="Q26" s="39"/>
    </row>
    <row r="27" spans="2:17" s="32" customFormat="1" ht="14.25" customHeight="1">
      <c r="B27" s="33" t="s">
        <v>33</v>
      </c>
      <c r="C27" s="34">
        <f t="shared" ref="C27:N27" si="8">C26/C4</f>
        <v>0.85947581586831345</v>
      </c>
      <c r="D27" s="32">
        <f t="shared" si="8"/>
        <v>0.71986898256236587</v>
      </c>
      <c r="E27" s="32">
        <f t="shared" si="8"/>
        <v>0.79397562944236444</v>
      </c>
      <c r="F27" s="32">
        <f t="shared" si="8"/>
        <v>0.77410684287154219</v>
      </c>
      <c r="G27" s="32">
        <f t="shared" si="8"/>
        <v>0.84691295546558709</v>
      </c>
      <c r="H27" s="32">
        <f t="shared" si="8"/>
        <v>0.75669824086603521</v>
      </c>
      <c r="I27" s="35">
        <f t="shared" si="8"/>
        <v>0.91434455399334935</v>
      </c>
      <c r="J27" s="34">
        <f t="shared" si="8"/>
        <v>0.86291792790086697</v>
      </c>
      <c r="K27" s="32">
        <f t="shared" si="8"/>
        <v>0.86683152356836768</v>
      </c>
      <c r="L27" s="32">
        <f t="shared" si="8"/>
        <v>0.87297302143754385</v>
      </c>
      <c r="M27" s="32">
        <f t="shared" si="8"/>
        <v>0.88153792286801136</v>
      </c>
      <c r="N27" s="35">
        <f t="shared" si="8"/>
        <v>0.89289520400753097</v>
      </c>
      <c r="P27" s="35"/>
      <c r="Q27" s="36"/>
    </row>
    <row r="28" spans="2:17" s="32" customFormat="1" ht="14.25" customHeight="1">
      <c r="B28" s="33"/>
      <c r="C28" s="34"/>
      <c r="I28" s="35"/>
      <c r="J28" s="34"/>
      <c r="N28" s="35"/>
      <c r="P28" s="35"/>
      <c r="Q28" s="36"/>
    </row>
    <row r="29" spans="2:17" s="25" customFormat="1" ht="14.25" customHeight="1">
      <c r="B29" s="37" t="s">
        <v>34</v>
      </c>
      <c r="C29" s="38">
        <v>868.17</v>
      </c>
      <c r="D29" s="25">
        <v>640.47</v>
      </c>
      <c r="E29" s="25">
        <v>891.55</v>
      </c>
      <c r="F29" s="25">
        <v>1714</v>
      </c>
      <c r="G29" s="25">
        <v>2540</v>
      </c>
      <c r="H29" s="25">
        <v>2778</v>
      </c>
      <c r="I29" s="30">
        <v>3869</v>
      </c>
      <c r="J29" s="38">
        <f>J26*$P$29</f>
        <v>4474.3610511500001</v>
      </c>
      <c r="K29" s="25">
        <f>K26*$P$29</f>
        <v>5371.1111016036512</v>
      </c>
      <c r="L29" s="25">
        <f>L26*$P$29</f>
        <v>6382.8151746250569</v>
      </c>
      <c r="M29" s="25">
        <f>M26*$P$29</f>
        <v>7508.9354644943351</v>
      </c>
      <c r="N29" s="30">
        <f>N26*$P$29</f>
        <v>8746.5282354289066</v>
      </c>
      <c r="P29" s="53">
        <v>0.25</v>
      </c>
      <c r="Q29" s="39" t="s">
        <v>35</v>
      </c>
    </row>
    <row r="30" spans="2:17" s="32" customFormat="1" ht="14.25" customHeight="1">
      <c r="B30" s="33" t="s">
        <v>36</v>
      </c>
      <c r="C30" s="34">
        <f t="shared" ref="C30:N30" si="9">C29/C26</f>
        <v>0.33699504310595796</v>
      </c>
      <c r="D30" s="32">
        <f t="shared" si="9"/>
        <v>0.25362637362637364</v>
      </c>
      <c r="E30" s="32">
        <f t="shared" si="9"/>
        <v>0.19963188288322581</v>
      </c>
      <c r="F30" s="32">
        <f t="shared" si="9"/>
        <v>0.24797453703703703</v>
      </c>
      <c r="G30" s="32">
        <f t="shared" si="9"/>
        <v>0.25296285230554727</v>
      </c>
      <c r="H30" s="32">
        <f t="shared" si="9"/>
        <v>0.24839055793991416</v>
      </c>
      <c r="I30" s="35">
        <f t="shared" si="9"/>
        <v>0.24686111844867342</v>
      </c>
      <c r="J30" s="34">
        <f t="shared" si="9"/>
        <v>0.25</v>
      </c>
      <c r="K30" s="32">
        <f t="shared" si="9"/>
        <v>0.25</v>
      </c>
      <c r="L30" s="32">
        <f t="shared" si="9"/>
        <v>0.25</v>
      </c>
      <c r="M30" s="32">
        <f t="shared" si="9"/>
        <v>0.25</v>
      </c>
      <c r="N30" s="35">
        <f t="shared" si="9"/>
        <v>0.25</v>
      </c>
      <c r="P30" s="35"/>
      <c r="Q30" s="36"/>
    </row>
    <row r="31" spans="2:17" s="32" customFormat="1" ht="14.25" customHeight="1">
      <c r="B31" s="33"/>
      <c r="C31" s="34"/>
      <c r="I31" s="35"/>
      <c r="J31" s="34"/>
      <c r="N31" s="35"/>
      <c r="P31" s="35"/>
      <c r="Q31" s="36"/>
    </row>
    <row r="32" spans="2:17" s="25" customFormat="1" ht="14.25" customHeight="1">
      <c r="B32" s="37" t="s">
        <v>37</v>
      </c>
      <c r="C32" s="38">
        <v>0</v>
      </c>
      <c r="D32" s="25">
        <v>0</v>
      </c>
      <c r="E32" s="25">
        <v>0</v>
      </c>
      <c r="F32" s="25">
        <v>134.6</v>
      </c>
      <c r="G32" s="25">
        <v>145.9</v>
      </c>
      <c r="H32" s="25">
        <v>100.7</v>
      </c>
      <c r="I32" s="30">
        <v>581.94000000000005</v>
      </c>
      <c r="J32" s="38">
        <v>0</v>
      </c>
      <c r="K32" s="25">
        <v>0</v>
      </c>
      <c r="L32" s="25">
        <v>0</v>
      </c>
      <c r="M32" s="25">
        <v>0</v>
      </c>
      <c r="N32" s="30">
        <v>0</v>
      </c>
      <c r="P32" s="30"/>
      <c r="Q32" s="31" t="s">
        <v>6</v>
      </c>
    </row>
    <row r="33" spans="2:17" s="25" customFormat="1" ht="14.25" customHeight="1">
      <c r="B33" s="37" t="s">
        <v>38</v>
      </c>
      <c r="C33" s="38">
        <f t="shared" ref="C33:N33" si="10">C26-C29-C32</f>
        <v>1708.04</v>
      </c>
      <c r="D33" s="25">
        <f t="shared" si="10"/>
        <v>1884.78</v>
      </c>
      <c r="E33" s="25">
        <f t="shared" si="10"/>
        <v>3574.42</v>
      </c>
      <c r="F33" s="25">
        <f t="shared" si="10"/>
        <v>5063.3999999999996</v>
      </c>
      <c r="G33" s="25">
        <f t="shared" si="10"/>
        <v>7355.1</v>
      </c>
      <c r="H33" s="25">
        <f t="shared" si="10"/>
        <v>8305.2999999999993</v>
      </c>
      <c r="I33" s="30">
        <f t="shared" si="10"/>
        <v>11221.84</v>
      </c>
      <c r="J33" s="38">
        <f t="shared" si="10"/>
        <v>13423.083153449999</v>
      </c>
      <c r="K33" s="25">
        <f t="shared" si="10"/>
        <v>16113.333304810953</v>
      </c>
      <c r="L33" s="25">
        <f t="shared" si="10"/>
        <v>19148.445523875169</v>
      </c>
      <c r="M33" s="25">
        <f t="shared" si="10"/>
        <v>22526.806393483006</v>
      </c>
      <c r="N33" s="30">
        <f t="shared" si="10"/>
        <v>26239.584706286718</v>
      </c>
      <c r="P33" s="30"/>
      <c r="Q33" s="39"/>
    </row>
    <row r="34" spans="2:17" s="32" customFormat="1" ht="14.25" customHeight="1">
      <c r="B34" s="33" t="s">
        <v>7</v>
      </c>
      <c r="C34" s="34">
        <v>0</v>
      </c>
      <c r="D34" s="32">
        <f t="shared" ref="D34:N34" si="11">(D33-C33)/C33</f>
        <v>0.1034753284466406</v>
      </c>
      <c r="E34" s="32">
        <f t="shared" si="11"/>
        <v>0.89646536996360326</v>
      </c>
      <c r="F34" s="32">
        <f t="shared" si="11"/>
        <v>0.41656548474997329</v>
      </c>
      <c r="G34" s="32">
        <f t="shared" si="11"/>
        <v>0.45260101907808997</v>
      </c>
      <c r="H34" s="32">
        <f t="shared" si="11"/>
        <v>0.12918927003031894</v>
      </c>
      <c r="I34" s="35">
        <f t="shared" si="11"/>
        <v>0.35116612283722454</v>
      </c>
      <c r="J34" s="34">
        <f t="shared" si="11"/>
        <v>0.1961570610033648</v>
      </c>
      <c r="K34" s="32">
        <f t="shared" si="11"/>
        <v>0.20041968902423921</v>
      </c>
      <c r="L34" s="32">
        <f t="shared" si="11"/>
        <v>0.18836029526913739</v>
      </c>
      <c r="M34" s="32">
        <f t="shared" si="11"/>
        <v>0.17643003268309904</v>
      </c>
      <c r="N34" s="35">
        <f t="shared" si="11"/>
        <v>0.16481600844573407</v>
      </c>
      <c r="P34" s="35"/>
      <c r="Q34" s="36"/>
    </row>
    <row r="35" spans="2:17" s="32" customFormat="1" ht="14.25" customHeight="1">
      <c r="B35" s="33" t="s">
        <v>39</v>
      </c>
      <c r="C35" s="34">
        <f t="shared" ref="C35:N35" si="12">C33/C4</f>
        <v>0.56983672625124271</v>
      </c>
      <c r="D35" s="32">
        <f t="shared" si="12"/>
        <v>0.53729122302896581</v>
      </c>
      <c r="E35" s="32">
        <f t="shared" si="12"/>
        <v>0.63547277957339088</v>
      </c>
      <c r="F35" s="32">
        <f t="shared" si="12"/>
        <v>0.56707358046813749</v>
      </c>
      <c r="G35" s="32">
        <f t="shared" si="12"/>
        <v>0.62036943319838056</v>
      </c>
      <c r="H35" s="32">
        <f t="shared" si="12"/>
        <v>0.56192828146143436</v>
      </c>
      <c r="I35" s="35">
        <f t="shared" si="12"/>
        <v>0.65467825681115455</v>
      </c>
      <c r="J35" s="34">
        <f t="shared" si="12"/>
        <v>0.64718844592565017</v>
      </c>
      <c r="K35" s="32">
        <f t="shared" si="12"/>
        <v>0.65012364267627576</v>
      </c>
      <c r="L35" s="32">
        <f t="shared" si="12"/>
        <v>0.65472976607815792</v>
      </c>
      <c r="M35" s="32">
        <f t="shared" si="12"/>
        <v>0.66115344215100857</v>
      </c>
      <c r="N35" s="35">
        <f t="shared" si="12"/>
        <v>0.6696714030056482</v>
      </c>
      <c r="P35" s="35"/>
      <c r="Q35" s="36"/>
    </row>
    <row r="36" spans="2:17" s="25" customFormat="1" ht="14.25" customHeight="1">
      <c r="B36" s="42" t="s">
        <v>40</v>
      </c>
      <c r="C36" s="46">
        <f t="shared" ref="C36:N36" si="13">C33-(C26-C29-C32)</f>
        <v>0</v>
      </c>
      <c r="D36" s="47">
        <f t="shared" si="13"/>
        <v>0</v>
      </c>
      <c r="E36" s="47">
        <f t="shared" si="13"/>
        <v>0</v>
      </c>
      <c r="F36" s="47">
        <f t="shared" si="13"/>
        <v>0</v>
      </c>
      <c r="G36" s="47">
        <f t="shared" si="13"/>
        <v>0</v>
      </c>
      <c r="H36" s="47">
        <f t="shared" si="13"/>
        <v>0</v>
      </c>
      <c r="I36" s="48">
        <f t="shared" si="13"/>
        <v>0</v>
      </c>
      <c r="J36" s="46">
        <f t="shared" si="13"/>
        <v>0</v>
      </c>
      <c r="K36" s="47">
        <f t="shared" si="13"/>
        <v>0</v>
      </c>
      <c r="L36" s="47">
        <f t="shared" si="13"/>
        <v>0</v>
      </c>
      <c r="M36" s="47">
        <f t="shared" si="13"/>
        <v>0</v>
      </c>
      <c r="N36" s="48">
        <f t="shared" si="13"/>
        <v>0</v>
      </c>
      <c r="O36" s="54"/>
      <c r="P36" s="30"/>
      <c r="Q36" s="39"/>
    </row>
    <row r="37" spans="2:17" s="32" customFormat="1" ht="14.25" customHeight="1">
      <c r="B37" s="33"/>
      <c r="C37" s="34"/>
      <c r="I37" s="35"/>
      <c r="J37" s="34"/>
      <c r="N37" s="35"/>
      <c r="P37" s="35"/>
      <c r="Q37" s="36"/>
    </row>
    <row r="38" spans="2:17" s="32" customFormat="1" ht="14.25" customHeight="1">
      <c r="B38" s="33" t="s">
        <v>41</v>
      </c>
      <c r="C38" s="55">
        <v>247.5</v>
      </c>
      <c r="D38" s="56">
        <f t="shared" ref="D38:N38" si="14">C38</f>
        <v>247.5</v>
      </c>
      <c r="E38" s="56">
        <f t="shared" si="14"/>
        <v>247.5</v>
      </c>
      <c r="F38" s="56">
        <f t="shared" si="14"/>
        <v>247.5</v>
      </c>
      <c r="G38" s="56">
        <f t="shared" si="14"/>
        <v>247.5</v>
      </c>
      <c r="H38" s="56">
        <f t="shared" si="14"/>
        <v>247.5</v>
      </c>
      <c r="I38" s="57">
        <f t="shared" si="14"/>
        <v>247.5</v>
      </c>
      <c r="J38" s="55">
        <f t="shared" si="14"/>
        <v>247.5</v>
      </c>
      <c r="K38" s="56">
        <f t="shared" si="14"/>
        <v>247.5</v>
      </c>
      <c r="L38" s="56">
        <f t="shared" si="14"/>
        <v>247.5</v>
      </c>
      <c r="M38" s="56">
        <f t="shared" si="14"/>
        <v>247.5</v>
      </c>
      <c r="N38" s="57">
        <f t="shared" si="14"/>
        <v>247.5</v>
      </c>
      <c r="P38" s="35"/>
      <c r="Q38" s="31" t="s">
        <v>6</v>
      </c>
    </row>
    <row r="39" spans="2:17" s="25" customFormat="1" ht="14.25" customHeight="1">
      <c r="B39" s="58" t="s">
        <v>42</v>
      </c>
      <c r="C39" s="59">
        <f t="shared" ref="C39:N39" si="15">C33/C38</f>
        <v>6.9011717171717173</v>
      </c>
      <c r="D39" s="60">
        <f t="shared" si="15"/>
        <v>7.6152727272727274</v>
      </c>
      <c r="E39" s="60">
        <f t="shared" si="15"/>
        <v>14.442101010101011</v>
      </c>
      <c r="F39" s="60">
        <f t="shared" si="15"/>
        <v>20.458181818181817</v>
      </c>
      <c r="G39" s="60">
        <f t="shared" si="15"/>
        <v>29.717575757575759</v>
      </c>
      <c r="H39" s="60">
        <f t="shared" si="15"/>
        <v>33.556767676767677</v>
      </c>
      <c r="I39" s="60">
        <f t="shared" si="15"/>
        <v>45.340767676767676</v>
      </c>
      <c r="J39" s="59">
        <f t="shared" si="15"/>
        <v>54.234679407878787</v>
      </c>
      <c r="K39" s="60">
        <f t="shared" si="15"/>
        <v>65.104376989135162</v>
      </c>
      <c r="L39" s="60">
        <f t="shared" si="15"/>
        <v>77.367456662121896</v>
      </c>
      <c r="M39" s="60">
        <f t="shared" si="15"/>
        <v>91.01739956962831</v>
      </c>
      <c r="N39" s="61">
        <f t="shared" si="15"/>
        <v>106.01852406580493</v>
      </c>
      <c r="P39" s="30"/>
      <c r="Q39" s="39"/>
    </row>
  </sheetData>
  <mergeCells count="1">
    <mergeCell ref="B2:B3"/>
  </mergeCells>
  <hyperlinks>
    <hyperlink ref="Q4" location="'ASSUMPTIONS AND REASONING'!A1" display="VIEW ASSUMPTIONS AND REASONING FILE" xr:uid="{00000000-0004-0000-0000-000000000000}"/>
    <hyperlink ref="Q11" location="'ASSUMPTIONS AND REASONING'!A1" display="VIEW ASSUMPTIONS AND REASONING FILE" xr:uid="{00000000-0004-0000-0000-000001000000}"/>
    <hyperlink ref="Q19" location="'FORCAST SCHEDULES'!A1" display="VIEW FORCAST SCHEDULES" xr:uid="{00000000-0004-0000-0000-000002000000}"/>
    <hyperlink ref="Q25" location="'ASSUMPTIONS AND REASONING'!A1" display="VIEW ASSUMPTIONS AND REASONING FILE" xr:uid="{00000000-0004-0000-0000-000003000000}"/>
    <hyperlink ref="Q32" location="'ASSUMPTIONS AND REASONING'!A1" display="VIEW ASSUMPTIONS AND REASONING FILE" xr:uid="{00000000-0004-0000-0000-000004000000}"/>
    <hyperlink ref="Q38" location="'ASSUMPTIONS AND REASONING'!A1" display="VIEW ASSUMPTIONS AND REASONING FILE" xr:uid="{00000000-0004-0000-0000-000005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R35"/>
  <sheetViews>
    <sheetView showGridLines="0" zoomScaleNormal="100" workbookViewId="0">
      <selection activeCell="B22" sqref="B22"/>
    </sheetView>
  </sheetViews>
  <sheetFormatPr defaultColWidth="8.5546875" defaultRowHeight="14.4"/>
  <cols>
    <col min="1" max="1" width="3" customWidth="1"/>
    <col min="2" max="2" width="45.77734375" customWidth="1"/>
    <col min="3" max="3" width="95.5546875" style="62" customWidth="1"/>
    <col min="4" max="4" width="9.44140625" customWidth="1"/>
    <col min="5" max="5" width="10.109375" customWidth="1"/>
    <col min="6" max="14" width="10.44140625" customWidth="1"/>
    <col min="15" max="15" width="12" customWidth="1"/>
    <col min="17" max="17" width="26.109375" style="63" customWidth="1"/>
    <col min="18" max="18" width="118" customWidth="1"/>
  </cols>
  <sheetData>
    <row r="2" spans="2:18" ht="14.25" customHeight="1">
      <c r="B2" s="12" t="s">
        <v>0</v>
      </c>
      <c r="C2" s="12"/>
      <c r="D2" s="64" t="s">
        <v>1</v>
      </c>
      <c r="E2" s="65" t="s">
        <v>1</v>
      </c>
      <c r="F2" s="65" t="s">
        <v>1</v>
      </c>
      <c r="G2" s="65" t="s">
        <v>1</v>
      </c>
      <c r="H2" s="65" t="s">
        <v>1</v>
      </c>
      <c r="I2" s="65" t="s">
        <v>1</v>
      </c>
      <c r="J2" s="66" t="s">
        <v>1</v>
      </c>
      <c r="K2" s="67" t="s">
        <v>2</v>
      </c>
      <c r="L2" s="68" t="s">
        <v>2</v>
      </c>
      <c r="M2" s="68" t="s">
        <v>2</v>
      </c>
      <c r="N2" s="68" t="s">
        <v>2</v>
      </c>
      <c r="O2" s="69" t="s">
        <v>2</v>
      </c>
      <c r="Q2" s="70" t="s">
        <v>3</v>
      </c>
      <c r="R2" s="71" t="s">
        <v>4</v>
      </c>
    </row>
    <row r="3" spans="2:18" ht="14.25" customHeight="1">
      <c r="B3" s="12"/>
      <c r="C3" s="12"/>
      <c r="D3" s="72">
        <v>2019</v>
      </c>
      <c r="E3" s="73">
        <v>2020</v>
      </c>
      <c r="F3" s="73">
        <v>2021</v>
      </c>
      <c r="G3" s="73">
        <v>2022</v>
      </c>
      <c r="H3" s="73">
        <v>2023</v>
      </c>
      <c r="I3" s="73">
        <v>2024</v>
      </c>
      <c r="J3" s="74">
        <v>2025</v>
      </c>
      <c r="K3" s="72">
        <v>2026</v>
      </c>
      <c r="L3" s="73">
        <v>2027</v>
      </c>
      <c r="M3" s="73">
        <v>2028</v>
      </c>
      <c r="N3" s="73">
        <v>2029</v>
      </c>
      <c r="O3" s="74">
        <v>2030</v>
      </c>
      <c r="Q3" s="75"/>
      <c r="R3" s="76"/>
    </row>
    <row r="4" spans="2:18" ht="14.25" customHeight="1">
      <c r="B4" s="77"/>
      <c r="C4" s="78" t="s">
        <v>43</v>
      </c>
      <c r="D4" s="21"/>
      <c r="E4" s="22"/>
      <c r="F4" s="22"/>
      <c r="G4" s="22"/>
      <c r="H4" s="22"/>
      <c r="I4" s="22"/>
      <c r="J4" s="23"/>
      <c r="K4" s="21"/>
      <c r="L4" s="22"/>
      <c r="M4" s="22"/>
      <c r="N4" s="22"/>
      <c r="O4" s="23"/>
      <c r="Q4" s="75"/>
      <c r="R4" s="76"/>
    </row>
    <row r="5" spans="2:18" ht="14.25" customHeight="1">
      <c r="B5" s="79" t="s">
        <v>44</v>
      </c>
      <c r="C5" s="80"/>
      <c r="D5" s="27"/>
      <c r="E5" s="28"/>
      <c r="F5" s="28"/>
      <c r="G5" s="28"/>
      <c r="H5" s="28"/>
      <c r="I5" s="28"/>
      <c r="J5" s="28"/>
      <c r="K5" s="27"/>
      <c r="L5" s="73"/>
      <c r="M5" s="73"/>
      <c r="N5" s="73"/>
      <c r="O5" s="74"/>
      <c r="Q5" s="75"/>
      <c r="R5" s="31"/>
    </row>
    <row r="6" spans="2:18" ht="14.25" customHeight="1">
      <c r="B6" s="81" t="s">
        <v>45</v>
      </c>
      <c r="C6" s="82" t="s">
        <v>46</v>
      </c>
      <c r="D6" s="38"/>
      <c r="E6" s="25">
        <f>'INCOME STATEMENT'!D33</f>
        <v>1884.78</v>
      </c>
      <c r="F6" s="25">
        <f>'INCOME STATEMENT'!E33</f>
        <v>3574.42</v>
      </c>
      <c r="G6" s="25">
        <f>'INCOME STATEMENT'!F33</f>
        <v>5063.3999999999996</v>
      </c>
      <c r="H6" s="25">
        <f>'INCOME STATEMENT'!G33</f>
        <v>7355.1</v>
      </c>
      <c r="I6" s="25">
        <f>'INCOME STATEMENT'!H33</f>
        <v>8305.2999999999993</v>
      </c>
      <c r="J6" s="25">
        <f>'INCOME STATEMENT'!I33</f>
        <v>11221.84</v>
      </c>
      <c r="K6" s="38">
        <f>'INCOME STATEMENT'!J33</f>
        <v>13423.083153449999</v>
      </c>
      <c r="L6" s="25">
        <f>'INCOME STATEMENT'!K33</f>
        <v>16113.333304810953</v>
      </c>
      <c r="M6" s="25">
        <f>'INCOME STATEMENT'!L33</f>
        <v>19148.445523875169</v>
      </c>
      <c r="N6" s="25">
        <f>'INCOME STATEMENT'!M33</f>
        <v>22526.806393483006</v>
      </c>
      <c r="O6" s="30">
        <f>'INCOME STATEMENT'!N33</f>
        <v>26239.584706286718</v>
      </c>
      <c r="Q6" s="75"/>
    </row>
    <row r="7" spans="2:18" ht="14.25" customHeight="1">
      <c r="B7" s="83" t="s">
        <v>23</v>
      </c>
      <c r="C7" s="82" t="s">
        <v>46</v>
      </c>
      <c r="D7" s="38"/>
      <c r="E7" s="25">
        <f>'INCOME STATEMENT'!D19</f>
        <v>180.78</v>
      </c>
      <c r="F7" s="25">
        <f>'INCOME STATEMENT'!E19</f>
        <v>226.01</v>
      </c>
      <c r="G7" s="25">
        <f>'INCOME STATEMENT'!F19</f>
        <v>338</v>
      </c>
      <c r="H7" s="25">
        <f>'INCOME STATEMENT'!G19</f>
        <v>384</v>
      </c>
      <c r="I7" s="25">
        <f>'INCOME STATEMENT'!H19</f>
        <v>439</v>
      </c>
      <c r="J7" s="25">
        <f>'INCOME STATEMENT'!I19</f>
        <v>546.59</v>
      </c>
      <c r="K7" s="38">
        <f>'INCOME STATEMENT'!J19</f>
        <v>737.83613639999999</v>
      </c>
      <c r="L7" s="25">
        <f>'INCOME STATEMENT'!K19</f>
        <v>915.00711528599993</v>
      </c>
      <c r="M7" s="25">
        <f>'INCOME STATEMENT'!L19</f>
        <v>1112.3045623872599</v>
      </c>
      <c r="N7" s="25">
        <f>'INCOME STATEMENT'!M19</f>
        <v>1330.3052731566049</v>
      </c>
      <c r="O7" s="30">
        <f>'INCOME STATEMENT'!N19</f>
        <v>1568.1784737403516</v>
      </c>
      <c r="Q7" s="75"/>
    </row>
    <row r="8" spans="2:18" ht="14.25" customHeight="1">
      <c r="B8" s="81" t="s">
        <v>47</v>
      </c>
      <c r="C8" s="82" t="s">
        <v>48</v>
      </c>
      <c r="D8" s="38"/>
      <c r="E8" s="25">
        <f>-('BALANCE SHEET'!D24-'BALANCE SHEET'!C24)</f>
        <v>-199.60000000000002</v>
      </c>
      <c r="F8" s="25">
        <f>-'BALANCE SHEET'!E24+'BALANCE SHEET'!D24</f>
        <v>-346.47</v>
      </c>
      <c r="G8" s="25">
        <f>-'BALANCE SHEET'!F24+'BALANCE SHEET'!E24</f>
        <v>-616.37</v>
      </c>
      <c r="H8" s="25">
        <f>-'BALANCE SHEET'!G24+'BALANCE SHEET'!F24</f>
        <v>25.740000000000009</v>
      </c>
      <c r="I8" s="25">
        <f>-'BALANCE SHEET'!H24+'BALANCE SHEET'!G24</f>
        <v>-275.45000000000005</v>
      </c>
      <c r="J8" s="25">
        <f>-'BALANCE SHEET'!I24+'BALANCE SHEET'!H24</f>
        <v>352.45000000000005</v>
      </c>
      <c r="K8" s="38">
        <f>-'BALANCE SHEET'!J24+'BALANCE SHEET'!I24</f>
        <v>-874.38073972602751</v>
      </c>
      <c r="L8" s="25">
        <f>-'BALANCE SHEET'!K24+'BALANCE SHEET'!J24</f>
        <v>-329.57681643835667</v>
      </c>
      <c r="M8" s="25">
        <f>-'BALANCE SHEET'!L24+'BALANCE SHEET'!K24</f>
        <v>-328.65627429588994</v>
      </c>
      <c r="N8" s="25">
        <f>-'BALANCE SHEET'!M24+'BALANCE SHEET'!L24</f>
        <v>-689.09170899890432</v>
      </c>
      <c r="O8" s="30">
        <f>-'BALANCE SHEET'!N24+'BALANCE SHEET'!M24</f>
        <v>-452.73725915942441</v>
      </c>
      <c r="Q8" s="75"/>
    </row>
    <row r="9" spans="2:18" ht="14.25" customHeight="1">
      <c r="B9" s="83" t="s">
        <v>49</v>
      </c>
      <c r="C9" s="82" t="s">
        <v>48</v>
      </c>
      <c r="D9" s="38"/>
      <c r="E9" s="25">
        <f>-'BALANCE SHEET'!D26+'BALANCE SHEET'!C26</f>
        <v>-4454.97</v>
      </c>
      <c r="F9" s="25">
        <f>-'BALANCE SHEET'!E26+'BALANCE SHEET'!D26</f>
        <v>1866.9100000000008</v>
      </c>
      <c r="G9" s="25">
        <f>-'BALANCE SHEET'!F26+'BALANCE SHEET'!E26</f>
        <v>-2482.0400000000009</v>
      </c>
      <c r="H9" s="25">
        <f>-'BALANCE SHEET'!G26+'BALANCE SHEET'!F26</f>
        <v>-555.43999999999869</v>
      </c>
      <c r="I9" s="25">
        <f>-'BALANCE SHEET'!H26+'BALANCE SHEET'!G26</f>
        <v>-2560.6100000000006</v>
      </c>
      <c r="J9" s="25">
        <f>-'BALANCE SHEET'!I26+'BALANCE SHEET'!H26</f>
        <v>-6390.9100000000017</v>
      </c>
      <c r="K9" s="38">
        <f>-'BALANCE SHEET'!J26+'BALANCE SHEET'!I26</f>
        <v>52.42035858294912</v>
      </c>
      <c r="L9" s="25">
        <f>-'BALANCE SHEET'!K26+'BALANCE SHEET'!J26</f>
        <v>-4347.9566904037165</v>
      </c>
      <c r="M9" s="25">
        <f>-'BALANCE SHEET'!L26+'BALANCE SHEET'!K26</f>
        <v>-5129.136271449468</v>
      </c>
      <c r="N9" s="25">
        <f>-'BALANCE SHEET'!M26+'BALANCE SHEET'!L26</f>
        <v>-3253.1001065683558</v>
      </c>
      <c r="O9" s="30">
        <f>-'BALANCE SHEET'!N26+'BALANCE SHEET'!M26</f>
        <v>-5063.4586320623384</v>
      </c>
      <c r="Q9" s="75"/>
    </row>
    <row r="10" spans="2:18" ht="14.25" customHeight="1">
      <c r="B10" s="81" t="s">
        <v>50</v>
      </c>
      <c r="C10" s="82" t="s">
        <v>51</v>
      </c>
      <c r="D10" s="38"/>
      <c r="E10" s="25">
        <f>'BALANCE SHEET'!D12-'BALANCE SHEET'!C12</f>
        <v>2915.59</v>
      </c>
      <c r="F10" s="25">
        <f>'BALANCE SHEET'!E12-'BALANCE SHEET'!D12</f>
        <v>1675.4600000000009</v>
      </c>
      <c r="G10" s="25">
        <f>'BALANCE SHEET'!F12-'BALANCE SHEET'!E12</f>
        <v>1929.9399999999987</v>
      </c>
      <c r="H10" s="25">
        <f>'BALANCE SHEET'!G12-'BALANCE SHEET'!F12</f>
        <v>-5078.1899999999987</v>
      </c>
      <c r="I10" s="25">
        <f>'BALANCE SHEET'!H12-'BALANCE SHEET'!G12</f>
        <v>21641.620000000003</v>
      </c>
      <c r="J10" s="25">
        <f>'BALANCE SHEET'!I12-'BALANCE SHEET'!H12</f>
        <v>-5836.5400000000009</v>
      </c>
      <c r="K10" s="38">
        <f>'BALANCE SHEET'!J12-'BALANCE SHEET'!I12</f>
        <v>66.015772713290062</v>
      </c>
      <c r="L10" s="25">
        <f>'BALANCE SHEET'!K12-'BALANCE SHEET'!J12</f>
        <v>248.20807873806916</v>
      </c>
      <c r="M10" s="25">
        <f>'BALANCE SHEET'!L12-'BALANCE SHEET'!K12</f>
        <v>288.58469611643886</v>
      </c>
      <c r="N10" s="25">
        <f>'BALANCE SHEET'!M12-'BALANCE SHEET'!L12</f>
        <v>428.592663534655</v>
      </c>
      <c r="O10" s="30">
        <f>'BALANCE SHEET'!N12-'BALANCE SHEET'!M12</f>
        <v>509.20027549343286</v>
      </c>
      <c r="Q10" s="75"/>
    </row>
    <row r="11" spans="2:18" ht="14.25" customHeight="1">
      <c r="B11" s="83" t="s">
        <v>52</v>
      </c>
      <c r="C11" s="82" t="s">
        <v>51</v>
      </c>
      <c r="D11" s="38"/>
      <c r="E11" s="25">
        <f>'BALANCE SHEET'!D16-'BALANCE SHEET'!C16</f>
        <v>369.09000000000015</v>
      </c>
      <c r="F11" s="25">
        <f>'BALANCE SHEET'!E16-'BALANCE SHEET'!D16</f>
        <v>366.15999999999985</v>
      </c>
      <c r="G11" s="25">
        <f>'BALANCE SHEET'!F16-'BALANCE SHEET'!E16</f>
        <v>462.29999999999973</v>
      </c>
      <c r="H11" s="25">
        <f>'BALANCE SHEET'!G16-'BALANCE SHEET'!F16</f>
        <v>1028.5700000000006</v>
      </c>
      <c r="I11" s="25">
        <f>'BALANCE SHEET'!H16-'BALANCE SHEET'!G16</f>
        <v>3626.6500000000005</v>
      </c>
      <c r="J11" s="25">
        <f>'BALANCE SHEET'!I16-'BALANCE SHEET'!H16</f>
        <v>3165.0599999999995</v>
      </c>
      <c r="K11" s="38">
        <f>'BALANCE SHEET'!J16-'BALANCE SHEET'!I16</f>
        <v>-1075.3536953692801</v>
      </c>
      <c r="L11" s="25">
        <f>'BALANCE SHEET'!K16-'BALANCE SHEET'!J16</f>
        <v>-553.35891728639763</v>
      </c>
      <c r="M11" s="25">
        <f>'BALANCE SHEET'!L16-'BALANCE SHEET'!K16</f>
        <v>1262.9507224649842</v>
      </c>
      <c r="N11" s="25">
        <f>'BALANCE SHEET'!M16-'BALANCE SHEET'!L16</f>
        <v>33.507562239263279</v>
      </c>
      <c r="O11" s="30">
        <f>'BALANCE SHEET'!N16-'BALANCE SHEET'!M16</f>
        <v>456.33531106252121</v>
      </c>
      <c r="Q11" s="75"/>
    </row>
    <row r="12" spans="2:18" ht="14.25" customHeight="1">
      <c r="B12" s="83" t="s">
        <v>53</v>
      </c>
      <c r="C12" s="82" t="s">
        <v>51</v>
      </c>
      <c r="D12" s="38"/>
      <c r="E12" s="25">
        <f>'BALANCE SHEET'!D9-'BALANCE SHEET'!C9</f>
        <v>73.539999999999964</v>
      </c>
      <c r="F12" s="25">
        <f>'BALANCE SHEET'!E9-'BALANCE SHEET'!D9</f>
        <v>-20.269999999999982</v>
      </c>
      <c r="G12" s="25">
        <f>'BALANCE SHEET'!F9-'BALANCE SHEET'!E9</f>
        <v>226.79000000000002</v>
      </c>
      <c r="H12" s="25">
        <f>'BALANCE SHEET'!G9-'BALANCE SHEET'!F9</f>
        <v>-55.139999999999986</v>
      </c>
      <c r="I12" s="25">
        <f>'BALANCE SHEET'!H9-'BALANCE SHEET'!G9</f>
        <v>137.88999999999999</v>
      </c>
      <c r="J12" s="25">
        <f>'BALANCE SHEET'!I9-'BALANCE SHEET'!H9</f>
        <v>294.66999999999996</v>
      </c>
      <c r="K12" s="38">
        <f>'BALANCE SHEET'!J9-'BALANCE SHEET'!I9</f>
        <v>184.03476173776562</v>
      </c>
      <c r="L12" s="25">
        <f>'BALANCE SHEET'!K9-'BALANCE SHEET'!J9</f>
        <v>366.00113759239889</v>
      </c>
      <c r="M12" s="25">
        <f>'BALANCE SHEET'!L9-'BALANCE SHEET'!K9</f>
        <v>506.41467594798587</v>
      </c>
      <c r="N12" s="25">
        <f>'BALANCE SHEET'!M9-'BALANCE SHEET'!L9</f>
        <v>589.76468183884072</v>
      </c>
      <c r="O12" s="30">
        <f>'BALANCE SHEET'!N9-'BALANCE SHEET'!M9</f>
        <v>853.25878524350946</v>
      </c>
      <c r="Q12" s="75"/>
    </row>
    <row r="13" spans="2:18" ht="14.25" customHeight="1">
      <c r="B13" s="84" t="s">
        <v>54</v>
      </c>
      <c r="C13" s="85"/>
      <c r="D13" s="27"/>
      <c r="E13" s="28">
        <f t="shared" ref="E13:O13" si="0">SUM(E6:E12)</f>
        <v>769.21</v>
      </c>
      <c r="F13" s="28">
        <f t="shared" si="0"/>
        <v>7342.2200000000012</v>
      </c>
      <c r="G13" s="28">
        <f t="shared" si="0"/>
        <v>4922.0199999999977</v>
      </c>
      <c r="H13" s="28">
        <f t="shared" si="0"/>
        <v>3104.6400000000035</v>
      </c>
      <c r="I13" s="28">
        <f t="shared" si="0"/>
        <v>31314.400000000001</v>
      </c>
      <c r="J13" s="28">
        <f t="shared" si="0"/>
        <v>3353.159999999998</v>
      </c>
      <c r="K13" s="27">
        <f t="shared" si="0"/>
        <v>12513.655747788696</v>
      </c>
      <c r="L13" s="28">
        <f t="shared" si="0"/>
        <v>12411.657212298951</v>
      </c>
      <c r="M13" s="28">
        <f t="shared" si="0"/>
        <v>16860.907635046482</v>
      </c>
      <c r="N13" s="28">
        <f t="shared" si="0"/>
        <v>20966.784758685109</v>
      </c>
      <c r="O13" s="29">
        <f t="shared" si="0"/>
        <v>24110.361660604769</v>
      </c>
      <c r="Q13" s="75"/>
    </row>
    <row r="14" spans="2:18" ht="14.25" customHeight="1">
      <c r="B14" s="83"/>
      <c r="C14" s="82"/>
      <c r="D14" s="38"/>
      <c r="E14" s="25"/>
      <c r="F14" s="25"/>
      <c r="G14" s="25"/>
      <c r="H14" s="25"/>
      <c r="I14" s="25"/>
      <c r="J14" s="25"/>
      <c r="K14" s="38"/>
      <c r="O14" s="24"/>
      <c r="Q14" s="75"/>
    </row>
    <row r="15" spans="2:18" ht="14.25" customHeight="1">
      <c r="B15" s="86" t="s">
        <v>55</v>
      </c>
      <c r="C15" s="82"/>
      <c r="D15" s="38"/>
      <c r="E15" s="25"/>
      <c r="F15" s="25"/>
      <c r="G15" s="25"/>
      <c r="H15" s="25"/>
      <c r="I15" s="25"/>
      <c r="J15" s="25"/>
      <c r="K15" s="38"/>
      <c r="O15" s="24"/>
      <c r="Q15" s="75"/>
    </row>
    <row r="16" spans="2:18" ht="14.25" customHeight="1">
      <c r="B16" s="81" t="s">
        <v>56</v>
      </c>
      <c r="C16" s="82" t="s">
        <v>57</v>
      </c>
      <c r="D16" s="38"/>
      <c r="E16" s="25">
        <f>('BALANCE SHEET'!D20-'BALANCE SHEET'!C20)+'INCOME STATEMENT'!D19</f>
        <v>166.83999999999995</v>
      </c>
      <c r="F16" s="25">
        <f>('BALANCE SHEET'!E20-'BALANCE SHEET'!D20)+'INCOME STATEMENT'!E19</f>
        <v>390.0200000000001</v>
      </c>
      <c r="G16" s="25">
        <f>('BALANCE SHEET'!F20-'BALANCE SHEET'!E20)+'INCOME STATEMENT'!F19</f>
        <v>686.36</v>
      </c>
      <c r="H16" s="25">
        <f>('BALANCE SHEET'!G20-'BALANCE SHEET'!F20)+'INCOME STATEMENT'!G19</f>
        <v>300.52</v>
      </c>
      <c r="I16" s="25">
        <f>('BALANCE SHEET'!H20-'BALANCE SHEET'!G20)+'INCOME STATEMENT'!H19</f>
        <v>476.94000000000005</v>
      </c>
      <c r="J16" s="25">
        <f>('BALANCE SHEET'!I20-'BALANCE SHEET'!H20)+'INCOME STATEMENT'!I19</f>
        <v>1103.08</v>
      </c>
      <c r="K16" s="38">
        <f>('BALANCE SHEET'!J20-'BALANCE SHEET'!I20)+'INCOME STATEMENT'!J19</f>
        <v>1161.4741599999995</v>
      </c>
      <c r="L16" s="25">
        <f>('BALANCE SHEET'!K20-'BALANCE SHEET'!J20)+'INCOME STATEMENT'!K19</f>
        <v>1387.9616212000001</v>
      </c>
      <c r="M16" s="25">
        <f>('BALANCE SHEET'!L20-'BALANCE SHEET'!K20)+'INCOME STATEMENT'!L19</f>
        <v>1637.7947130160001</v>
      </c>
      <c r="N16" s="25">
        <f>('BALANCE SHEET'!M20-'BALANCE SHEET'!L20)+'INCOME STATEMENT'!M19</f>
        <v>1908.03084066364</v>
      </c>
      <c r="O16" s="30">
        <f>('BALANCE SHEET'!N20-'BALANCE SHEET'!M20)+'INCOME STATEMENT'!N19</f>
        <v>2194.2354667631862</v>
      </c>
      <c r="Q16" s="75"/>
    </row>
    <row r="17" spans="2:18" ht="14.25" customHeight="1">
      <c r="B17" s="83" t="s">
        <v>58</v>
      </c>
      <c r="C17" s="82" t="s">
        <v>59</v>
      </c>
      <c r="D17" s="38"/>
      <c r="E17" s="25">
        <f>-('BALANCE SHEET'!D21-'BALANCE SHEET'!C21)</f>
        <v>585.90000000000055</v>
      </c>
      <c r="F17" s="25">
        <f>-('BALANCE SHEET'!E21-'BALANCE SHEET'!D21)</f>
        <v>-2612.09</v>
      </c>
      <c r="G17" s="25">
        <f>-('BALANCE SHEET'!F21-'BALANCE SHEET'!E21)</f>
        <v>-89.399999999999636</v>
      </c>
      <c r="H17" s="25">
        <f>-('BALANCE SHEET'!G21-'BALANCE SHEET'!F21)</f>
        <v>-4464.47</v>
      </c>
      <c r="I17" s="25">
        <f>-('BALANCE SHEET'!H21-'BALANCE SHEET'!G21)</f>
        <v>-8431.5099999999984</v>
      </c>
      <c r="J17" s="25">
        <f>-('BALANCE SHEET'!I21-'BALANCE SHEET'!H21)</f>
        <v>381.37999999999738</v>
      </c>
      <c r="K17" s="38">
        <f>-('BALANCE SHEET'!J21-'BALANCE SHEET'!I21)</f>
        <v>-155.98624815991934</v>
      </c>
      <c r="L17" s="25">
        <f>-('BALANCE SHEET'!K21-'BALANCE SHEET'!J21)</f>
        <v>-441.0215696963387</v>
      </c>
      <c r="M17" s="25">
        <f>-('BALANCE SHEET'!L21-'BALANCE SHEET'!K21)</f>
        <v>-391.72199996379641</v>
      </c>
      <c r="N17" s="25">
        <f>-('BALANCE SHEET'!M21-'BALANCE SHEET'!L21)</f>
        <v>-419.51742066277802</v>
      </c>
      <c r="O17" s="30">
        <f>-('BALANCE SHEET'!N21-'BALANCE SHEET'!M21)</f>
        <v>-450.22470919241823</v>
      </c>
      <c r="Q17" s="75"/>
    </row>
    <row r="18" spans="2:18" ht="14.25" customHeight="1">
      <c r="B18" s="81" t="s">
        <v>60</v>
      </c>
      <c r="C18" s="82" t="s">
        <v>61</v>
      </c>
      <c r="D18" s="38"/>
      <c r="E18" s="25">
        <f>-('BALANCE SHEET'!D29-'BALANCE SHEET'!C29)</f>
        <v>-440</v>
      </c>
      <c r="F18" s="25">
        <f>-('BALANCE SHEET'!E29-'BALANCE SHEET'!D29)</f>
        <v>440</v>
      </c>
      <c r="G18" s="25">
        <f>-('BALANCE SHEET'!F29-'BALANCE SHEET'!E29)</f>
        <v>0</v>
      </c>
      <c r="H18" s="25">
        <f>-('BALANCE SHEET'!G29-'BALANCE SHEET'!F29)</f>
        <v>-786.21</v>
      </c>
      <c r="I18" s="25">
        <f>-('BALANCE SHEET'!H29-'BALANCE SHEET'!G29)</f>
        <v>-66.289999999999964</v>
      </c>
      <c r="J18" s="25">
        <f>-('BALANCE SHEET'!I29-'BALANCE SHEET'!H29)</f>
        <v>614.1</v>
      </c>
      <c r="K18" s="38">
        <f>-('BALANCE SHEET'!J29-'BALANCE SHEET'!I29)</f>
        <v>238.4</v>
      </c>
      <c r="L18" s="25">
        <f>-('BALANCE SHEET'!K29-'BALANCE SHEET'!J29)</f>
        <v>0</v>
      </c>
      <c r="M18" s="25">
        <f>-('BALANCE SHEET'!L29-'BALANCE SHEET'!K29)</f>
        <v>0</v>
      </c>
      <c r="N18" s="25">
        <f>-('BALANCE SHEET'!M29-'BALANCE SHEET'!L29)</f>
        <v>0</v>
      </c>
      <c r="O18" s="30">
        <f>-('BALANCE SHEET'!N29-'BALANCE SHEET'!M29)</f>
        <v>0</v>
      </c>
      <c r="Q18" s="75"/>
    </row>
    <row r="19" spans="2:18" ht="14.25" customHeight="1">
      <c r="B19" s="81"/>
      <c r="C19" s="82"/>
      <c r="D19" s="38"/>
      <c r="E19" s="25"/>
      <c r="F19" s="25"/>
      <c r="G19" s="25"/>
      <c r="H19" s="25"/>
      <c r="I19" s="25"/>
      <c r="J19" s="25"/>
      <c r="K19" s="38"/>
      <c r="O19" s="24"/>
      <c r="Q19" s="75"/>
    </row>
    <row r="20" spans="2:18" ht="14.25" customHeight="1">
      <c r="B20" s="84" t="s">
        <v>62</v>
      </c>
      <c r="C20" s="85"/>
      <c r="D20" s="27"/>
      <c r="E20" s="28">
        <f t="shared" ref="E20:O20" si="1">E17+E18-E16</f>
        <v>-20.939999999999401</v>
      </c>
      <c r="F20" s="28">
        <f t="shared" si="1"/>
        <v>-2562.11</v>
      </c>
      <c r="G20" s="28">
        <f t="shared" si="1"/>
        <v>-775.75999999999965</v>
      </c>
      <c r="H20" s="28">
        <f t="shared" si="1"/>
        <v>-5551.2000000000007</v>
      </c>
      <c r="I20" s="28">
        <f t="shared" si="1"/>
        <v>-8974.74</v>
      </c>
      <c r="J20" s="28">
        <f t="shared" si="1"/>
        <v>-107.60000000000252</v>
      </c>
      <c r="K20" s="27">
        <f t="shared" si="1"/>
        <v>-1079.0604081599188</v>
      </c>
      <c r="L20" s="28">
        <f t="shared" si="1"/>
        <v>-1828.9831908963388</v>
      </c>
      <c r="M20" s="28">
        <f t="shared" si="1"/>
        <v>-2029.5167129797965</v>
      </c>
      <c r="N20" s="28">
        <f t="shared" si="1"/>
        <v>-2327.548261326418</v>
      </c>
      <c r="O20" s="29">
        <f t="shared" si="1"/>
        <v>-2644.4601759556044</v>
      </c>
      <c r="Q20" s="75"/>
    </row>
    <row r="21" spans="2:18" ht="14.25" customHeight="1">
      <c r="B21" s="87"/>
      <c r="C21" s="88"/>
      <c r="D21" s="38"/>
      <c r="E21" s="25"/>
      <c r="F21" s="25"/>
      <c r="G21" s="25"/>
      <c r="H21" s="25"/>
      <c r="I21" s="25"/>
      <c r="J21" s="25"/>
      <c r="K21" s="38"/>
      <c r="O21" s="24"/>
      <c r="Q21" s="75"/>
    </row>
    <row r="22" spans="2:18" ht="14.25" customHeight="1">
      <c r="B22" s="86" t="s">
        <v>63</v>
      </c>
      <c r="C22" s="88"/>
      <c r="D22" s="38"/>
      <c r="E22" s="25"/>
      <c r="F22" s="25"/>
      <c r="G22" s="25"/>
      <c r="H22" s="25"/>
      <c r="I22" s="25"/>
      <c r="J22" s="25"/>
      <c r="K22" s="38"/>
      <c r="O22" s="24"/>
      <c r="Q22" s="75"/>
    </row>
    <row r="23" spans="2:18" ht="14.25" customHeight="1">
      <c r="B23" s="81" t="s">
        <v>64</v>
      </c>
      <c r="C23" s="88" t="s">
        <v>65</v>
      </c>
      <c r="D23" s="38"/>
      <c r="E23" s="25">
        <v>0</v>
      </c>
      <c r="F23" s="25">
        <v>0</v>
      </c>
      <c r="G23" s="25">
        <v>0</v>
      </c>
      <c r="H23" s="25">
        <v>0</v>
      </c>
      <c r="I23" s="25">
        <v>0</v>
      </c>
      <c r="J23" s="25">
        <v>0</v>
      </c>
      <c r="K23" s="38">
        <v>0</v>
      </c>
      <c r="L23" s="25">
        <v>0</v>
      </c>
      <c r="M23" s="25">
        <v>0</v>
      </c>
      <c r="N23" s="25">
        <v>0</v>
      </c>
      <c r="O23" s="30">
        <v>0</v>
      </c>
      <c r="Q23" s="75"/>
    </row>
    <row r="24" spans="2:18" ht="14.25" customHeight="1">
      <c r="B24" s="83" t="s">
        <v>66</v>
      </c>
      <c r="C24" s="88" t="s">
        <v>67</v>
      </c>
      <c r="D24" s="38"/>
      <c r="E24" s="25">
        <v>0</v>
      </c>
      <c r="F24" s="25">
        <v>0</v>
      </c>
      <c r="G24" s="25">
        <v>0</v>
      </c>
      <c r="H24" s="25">
        <v>0</v>
      </c>
      <c r="I24" s="25">
        <v>0</v>
      </c>
      <c r="J24" s="25">
        <v>0</v>
      </c>
      <c r="K24" s="38">
        <v>0</v>
      </c>
      <c r="L24" s="25">
        <v>0</v>
      </c>
      <c r="M24" s="25">
        <v>0</v>
      </c>
      <c r="N24" s="25">
        <v>0</v>
      </c>
      <c r="O24" s="30">
        <v>0</v>
      </c>
      <c r="Q24" s="75"/>
    </row>
    <row r="25" spans="2:18" ht="42" customHeight="1">
      <c r="B25" s="81" t="s">
        <v>68</v>
      </c>
      <c r="C25" s="88" t="s">
        <v>69</v>
      </c>
      <c r="D25" s="38"/>
      <c r="E25" s="25">
        <f>'INCOME STATEMENT'!D33-('BALANCE SHEET'!D7-'BALANCE SHEET'!C7)</f>
        <v>1051.0500000000004</v>
      </c>
      <c r="F25" s="25">
        <f>'INCOME STATEMENT'!E33-('BALANCE SHEET'!E7-'BALANCE SHEET'!D7)</f>
        <v>560.45999999999913</v>
      </c>
      <c r="G25" s="25">
        <f>'INCOME STATEMENT'!F33-('BALANCE SHEET'!F7-'BALANCE SHEET'!E7)</f>
        <v>1281.0699999999997</v>
      </c>
      <c r="H25" s="25">
        <f>'INCOME STATEMENT'!G33-('BALANCE SHEET'!G7-'BALANCE SHEET'!F7)</f>
        <v>2293</v>
      </c>
      <c r="I25" s="25">
        <f>'INCOME STATEMENT'!H33-('BALANCE SHEET'!H7-'BALANCE SHEET'!G7)</f>
        <v>4811.7999999999993</v>
      </c>
      <c r="J25" s="25">
        <f>'INCOME STATEMENT'!I33-('BALANCE SHEET'!I7-'BALANCE SHEET'!H7)+198</f>
        <v>5040.3899999999994</v>
      </c>
      <c r="K25" s="38">
        <f>'FORCAST SCHEDULES'!J24</f>
        <v>5100.7715983110002</v>
      </c>
      <c r="L25" s="25">
        <f>'FORCAST SCHEDULES'!K24</f>
        <v>6123.0666558281619</v>
      </c>
      <c r="M25" s="25">
        <f>'FORCAST SCHEDULES'!L24</f>
        <v>7276.409299072564</v>
      </c>
      <c r="N25" s="25">
        <f>'FORCAST SCHEDULES'!M24</f>
        <v>8560.1864295235428</v>
      </c>
      <c r="O25" s="30">
        <f>'FORCAST SCHEDULES'!N24</f>
        <v>9971.0421883889521</v>
      </c>
      <c r="Q25" s="89" t="s">
        <v>70</v>
      </c>
      <c r="R25" s="90" t="s">
        <v>71</v>
      </c>
    </row>
    <row r="26" spans="2:18" ht="14.25" customHeight="1">
      <c r="B26" s="81" t="s">
        <v>72</v>
      </c>
      <c r="C26" s="88"/>
      <c r="D26" s="38"/>
      <c r="E26" s="25"/>
      <c r="F26" s="25"/>
      <c r="G26" s="25"/>
      <c r="H26" s="25"/>
      <c r="I26" s="25"/>
      <c r="J26" s="25">
        <v>198</v>
      </c>
      <c r="K26" s="38"/>
      <c r="L26" s="25"/>
      <c r="M26" s="25"/>
      <c r="N26" s="25"/>
      <c r="O26" s="30"/>
      <c r="Q26" s="75"/>
    </row>
    <row r="27" spans="2:18" ht="14.25" customHeight="1">
      <c r="B27" s="84" t="s">
        <v>73</v>
      </c>
      <c r="C27" s="85"/>
      <c r="D27" s="27"/>
      <c r="E27" s="28">
        <f>E23+E24-E25</f>
        <v>-1051.0500000000004</v>
      </c>
      <c r="F27" s="28">
        <f>F23+F24-F25</f>
        <v>-560.45999999999913</v>
      </c>
      <c r="G27" s="28">
        <f>G23+G24-G25</f>
        <v>-1281.0699999999997</v>
      </c>
      <c r="H27" s="28">
        <f>H23+H24-H25</f>
        <v>-2293</v>
      </c>
      <c r="I27" s="28">
        <f>I23+I24-I25</f>
        <v>-4811.7999999999993</v>
      </c>
      <c r="J27" s="28">
        <f t="shared" ref="J27:O27" si="2">J23+J24-J25+J26</f>
        <v>-4842.3899999999994</v>
      </c>
      <c r="K27" s="27">
        <f t="shared" si="2"/>
        <v>-5100.7715983110002</v>
      </c>
      <c r="L27" s="28">
        <f t="shared" si="2"/>
        <v>-6123.0666558281619</v>
      </c>
      <c r="M27" s="28">
        <f t="shared" si="2"/>
        <v>-7276.409299072564</v>
      </c>
      <c r="N27" s="28">
        <f t="shared" si="2"/>
        <v>-8560.1864295235428</v>
      </c>
      <c r="O27" s="29">
        <f t="shared" si="2"/>
        <v>-9971.0421883889521</v>
      </c>
      <c r="Q27" s="75"/>
    </row>
    <row r="28" spans="2:18" ht="14.25" customHeight="1">
      <c r="B28" s="91"/>
      <c r="C28" s="88"/>
      <c r="D28" s="38"/>
      <c r="E28" s="25"/>
      <c r="F28" s="25"/>
      <c r="G28" s="25"/>
      <c r="H28" s="25"/>
      <c r="I28" s="25"/>
      <c r="J28" s="25"/>
      <c r="K28" s="38"/>
      <c r="O28" s="24"/>
    </row>
    <row r="29" spans="2:18" ht="14.25" customHeight="1">
      <c r="B29" s="91" t="s">
        <v>74</v>
      </c>
      <c r="C29" s="88"/>
      <c r="D29" s="38"/>
      <c r="E29" s="25">
        <f t="shared" ref="E29:O29" si="3">D31</f>
        <v>9540.68</v>
      </c>
      <c r="F29" s="25">
        <f t="shared" si="3"/>
        <v>9237.9000000000015</v>
      </c>
      <c r="G29" s="25">
        <f t="shared" si="3"/>
        <v>13457.550000000003</v>
      </c>
      <c r="H29" s="25">
        <f t="shared" si="3"/>
        <v>16322.740000000002</v>
      </c>
      <c r="I29" s="25">
        <f t="shared" si="3"/>
        <v>11583.180000000004</v>
      </c>
      <c r="J29" s="25">
        <f t="shared" si="3"/>
        <v>29111.040000000008</v>
      </c>
      <c r="K29" s="38">
        <f t="shared" si="3"/>
        <v>27514.210000000003</v>
      </c>
      <c r="L29" s="25">
        <f t="shared" si="3"/>
        <v>33848.033741317777</v>
      </c>
      <c r="M29" s="25">
        <f t="shared" si="3"/>
        <v>38307.641106892224</v>
      </c>
      <c r="N29" s="25">
        <f t="shared" si="3"/>
        <v>45862.622729886345</v>
      </c>
      <c r="O29" s="30">
        <f t="shared" si="3"/>
        <v>55941.67279772149</v>
      </c>
    </row>
    <row r="30" spans="2:18" ht="14.25" customHeight="1">
      <c r="B30" s="87" t="s">
        <v>75</v>
      </c>
      <c r="C30" s="88"/>
      <c r="D30" s="38"/>
      <c r="E30" s="25">
        <f t="shared" ref="E30:O30" si="4">SUM(E13,E20,E27)</f>
        <v>-302.77999999999975</v>
      </c>
      <c r="F30" s="25">
        <f t="shared" si="4"/>
        <v>4219.6500000000015</v>
      </c>
      <c r="G30" s="25">
        <f t="shared" si="4"/>
        <v>2865.1899999999987</v>
      </c>
      <c r="H30" s="25">
        <f t="shared" si="4"/>
        <v>-4739.5599999999977</v>
      </c>
      <c r="I30" s="25">
        <f t="shared" si="4"/>
        <v>17527.860000000004</v>
      </c>
      <c r="J30" s="25">
        <f t="shared" si="4"/>
        <v>-1596.830000000004</v>
      </c>
      <c r="K30" s="38">
        <f t="shared" si="4"/>
        <v>6333.8237413177767</v>
      </c>
      <c r="L30" s="25">
        <f t="shared" si="4"/>
        <v>4459.6073655744503</v>
      </c>
      <c r="M30" s="25">
        <f t="shared" si="4"/>
        <v>7554.9816229941225</v>
      </c>
      <c r="N30" s="25">
        <f t="shared" si="4"/>
        <v>10079.050067835149</v>
      </c>
      <c r="O30" s="30">
        <f t="shared" si="4"/>
        <v>11494.859296260211</v>
      </c>
    </row>
    <row r="31" spans="2:18" ht="14.25" customHeight="1">
      <c r="B31" s="92" t="s">
        <v>76</v>
      </c>
      <c r="C31" s="93"/>
      <c r="D31" s="27">
        <f>'BALANCE SHEET'!C25</f>
        <v>9540.68</v>
      </c>
      <c r="E31" s="28">
        <f t="shared" ref="E31:O31" si="5">E29+E30</f>
        <v>9237.9000000000015</v>
      </c>
      <c r="F31" s="28">
        <f t="shared" si="5"/>
        <v>13457.550000000003</v>
      </c>
      <c r="G31" s="28">
        <f t="shared" si="5"/>
        <v>16322.740000000002</v>
      </c>
      <c r="H31" s="28">
        <f t="shared" si="5"/>
        <v>11583.180000000004</v>
      </c>
      <c r="I31" s="28">
        <f t="shared" si="5"/>
        <v>29111.040000000008</v>
      </c>
      <c r="J31" s="28">
        <f t="shared" si="5"/>
        <v>27514.210000000003</v>
      </c>
      <c r="K31" s="27">
        <f t="shared" si="5"/>
        <v>33848.033741317777</v>
      </c>
      <c r="L31" s="28">
        <f t="shared" si="5"/>
        <v>38307.641106892224</v>
      </c>
      <c r="M31" s="28">
        <f t="shared" si="5"/>
        <v>45862.622729886345</v>
      </c>
      <c r="N31" s="28">
        <f t="shared" si="5"/>
        <v>55941.67279772149</v>
      </c>
      <c r="O31" s="29">
        <f t="shared" si="5"/>
        <v>67436.532093981703</v>
      </c>
      <c r="R31" s="25"/>
    </row>
    <row r="32" spans="2:18" ht="14.25" customHeight="1">
      <c r="B32" s="91"/>
      <c r="C32" s="88"/>
      <c r="D32" s="38"/>
      <c r="E32" s="25"/>
      <c r="F32" s="25"/>
      <c r="G32" s="25"/>
      <c r="H32" s="25"/>
      <c r="I32" s="25"/>
      <c r="J32" s="25"/>
      <c r="K32" s="38"/>
      <c r="O32" s="24"/>
    </row>
    <row r="33" spans="2:17" s="25" customFormat="1" ht="14.25" customHeight="1">
      <c r="B33" s="94" t="s">
        <v>77</v>
      </c>
      <c r="C33" s="95"/>
      <c r="D33" s="96">
        <f>D31-'BALANCE SHEET'!C25</f>
        <v>0</v>
      </c>
      <c r="E33" s="97">
        <f>E31-'BALANCE SHEET'!D25</f>
        <v>0</v>
      </c>
      <c r="F33" s="97">
        <f>F31-'BALANCE SHEET'!E25</f>
        <v>0</v>
      </c>
      <c r="G33" s="97">
        <f>G31-'BALANCE SHEET'!F25</f>
        <v>0</v>
      </c>
      <c r="H33" s="97">
        <f>H31-'BALANCE SHEET'!G25</f>
        <v>0</v>
      </c>
      <c r="I33" s="97">
        <f>I31-'BALANCE SHEET'!H25</f>
        <v>0</v>
      </c>
      <c r="J33" s="97">
        <f>J31-'BALANCE SHEET'!I25</f>
        <v>0</v>
      </c>
      <c r="K33" s="97">
        <f>K31-'BALANCE SHEET'!J25</f>
        <v>0</v>
      </c>
      <c r="L33" s="97">
        <f>L31-'BALANCE SHEET'!K25</f>
        <v>0</v>
      </c>
      <c r="M33" s="97">
        <f>M31-'BALANCE SHEET'!L25</f>
        <v>0</v>
      </c>
      <c r="N33" s="97">
        <f>N31-'BALANCE SHEET'!M25</f>
        <v>0</v>
      </c>
      <c r="O33" s="98">
        <f>O31-'BALANCE SHEET'!N25</f>
        <v>0</v>
      </c>
      <c r="P33" s="99"/>
      <c r="Q33" s="63"/>
    </row>
    <row r="34" spans="2:17" ht="14.25" customHeight="1">
      <c r="D34" s="25"/>
      <c r="E34" s="25"/>
      <c r="F34" s="25"/>
      <c r="G34" s="25"/>
      <c r="H34" s="25"/>
      <c r="I34" s="25"/>
      <c r="J34" s="25"/>
      <c r="K34" s="25"/>
    </row>
    <row r="35" spans="2:17" ht="14.25" customHeight="1">
      <c r="D35" s="25"/>
      <c r="E35" s="25"/>
      <c r="F35" s="25"/>
      <c r="G35" s="25"/>
      <c r="H35" s="25"/>
      <c r="I35" s="25"/>
      <c r="J35" s="25"/>
      <c r="K35" s="25"/>
    </row>
  </sheetData>
  <mergeCells count="1">
    <mergeCell ref="B2:C3"/>
  </mergeCells>
  <hyperlinks>
    <hyperlink ref="Q25" location="'FORCAST SCHEDULES'!A1" display="Values from Forcast Schedules" xr:uid="{00000000-0004-0000-0100-000000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Q36"/>
  <sheetViews>
    <sheetView showGridLines="0" zoomScaleNormal="100" workbookViewId="0">
      <selection activeCell="K36" sqref="K36"/>
    </sheetView>
  </sheetViews>
  <sheetFormatPr defaultColWidth="8.5546875" defaultRowHeight="14.4" outlineLevelRow="1"/>
  <cols>
    <col min="1" max="1" width="4.109375" customWidth="1"/>
    <col min="2" max="2" width="34.44140625" customWidth="1"/>
    <col min="3" max="11" width="10.44140625" customWidth="1"/>
    <col min="12" max="14" width="12" customWidth="1"/>
    <col min="15" max="15" width="11" customWidth="1"/>
    <col min="16" max="16" width="26.109375" style="63" customWidth="1"/>
    <col min="17" max="17" width="30.21875" customWidth="1"/>
  </cols>
  <sheetData>
    <row r="2" spans="2:17" ht="14.25" customHeight="1">
      <c r="B2" s="12" t="s">
        <v>0</v>
      </c>
      <c r="C2" s="14" t="s">
        <v>1</v>
      </c>
      <c r="D2" s="15" t="s">
        <v>1</v>
      </c>
      <c r="E2" s="15" t="s">
        <v>1</v>
      </c>
      <c r="F2" s="15" t="s">
        <v>1</v>
      </c>
      <c r="G2" s="15" t="s">
        <v>1</v>
      </c>
      <c r="H2" s="15" t="s">
        <v>1</v>
      </c>
      <c r="I2" s="16" t="s">
        <v>1</v>
      </c>
      <c r="J2" s="100" t="s">
        <v>2</v>
      </c>
      <c r="K2" s="17" t="s">
        <v>2</v>
      </c>
      <c r="L2" s="17" t="s">
        <v>2</v>
      </c>
      <c r="M2" s="17" t="s">
        <v>2</v>
      </c>
      <c r="N2" s="18" t="s">
        <v>2</v>
      </c>
      <c r="O2" s="101"/>
      <c r="P2" s="102" t="s">
        <v>3</v>
      </c>
      <c r="Q2" s="71" t="s">
        <v>4</v>
      </c>
    </row>
    <row r="3" spans="2:17" ht="14.25" customHeight="1">
      <c r="B3" s="12"/>
      <c r="C3" s="103">
        <v>2019</v>
      </c>
      <c r="D3" s="104">
        <v>2020</v>
      </c>
      <c r="E3" s="104">
        <v>2021</v>
      </c>
      <c r="F3" s="104">
        <v>2022</v>
      </c>
      <c r="G3" s="104">
        <v>2023</v>
      </c>
      <c r="H3" s="104">
        <v>2024</v>
      </c>
      <c r="I3" s="105">
        <v>2025</v>
      </c>
      <c r="J3" s="103">
        <v>2026</v>
      </c>
      <c r="K3" s="104">
        <v>2027</v>
      </c>
      <c r="L3" s="104">
        <v>2028</v>
      </c>
      <c r="M3" s="104">
        <v>2029</v>
      </c>
      <c r="N3" s="105">
        <v>2030</v>
      </c>
      <c r="O3" s="106"/>
      <c r="P3" s="75"/>
      <c r="Q3" s="76"/>
    </row>
    <row r="4" spans="2:17" ht="14.25" customHeight="1" outlineLevel="1">
      <c r="B4" s="107" t="s">
        <v>78</v>
      </c>
      <c r="C4" s="38">
        <v>49.5</v>
      </c>
      <c r="D4" s="25">
        <v>49.5</v>
      </c>
      <c r="E4" s="25">
        <v>49.5</v>
      </c>
      <c r="F4" s="25">
        <v>49.5</v>
      </c>
      <c r="G4" s="25">
        <v>49.5</v>
      </c>
      <c r="H4" s="25">
        <v>49.5</v>
      </c>
      <c r="I4" s="30">
        <f>49.5</f>
        <v>49.5</v>
      </c>
      <c r="J4" s="108">
        <f>$P$4</f>
        <v>247.5</v>
      </c>
      <c r="K4" s="109">
        <f>$P$4</f>
        <v>247.5</v>
      </c>
      <c r="L4" s="109">
        <f>$P$4</f>
        <v>247.5</v>
      </c>
      <c r="M4" s="109">
        <f>$P$4</f>
        <v>247.5</v>
      </c>
      <c r="N4" s="110">
        <f>$P$4</f>
        <v>247.5</v>
      </c>
      <c r="P4" s="75">
        <v>247.5</v>
      </c>
      <c r="Q4" s="31" t="s">
        <v>6</v>
      </c>
    </row>
    <row r="5" spans="2:17" ht="14.25" customHeight="1" outlineLevel="1">
      <c r="B5" s="111" t="s">
        <v>79</v>
      </c>
      <c r="C5" s="38">
        <v>0</v>
      </c>
      <c r="D5" s="25">
        <v>0</v>
      </c>
      <c r="E5" s="25">
        <v>0</v>
      </c>
      <c r="F5" s="25">
        <v>0</v>
      </c>
      <c r="G5" s="25">
        <v>0</v>
      </c>
      <c r="H5" s="25">
        <v>0</v>
      </c>
      <c r="I5" s="30">
        <v>198</v>
      </c>
      <c r="J5" s="112">
        <v>0</v>
      </c>
      <c r="K5" s="63">
        <v>0</v>
      </c>
      <c r="L5" s="63">
        <v>0</v>
      </c>
      <c r="M5" s="63">
        <v>0</v>
      </c>
      <c r="N5" s="75">
        <v>0</v>
      </c>
      <c r="P5" s="75"/>
      <c r="Q5" s="31" t="s">
        <v>6</v>
      </c>
    </row>
    <row r="6" spans="2:17" ht="14.25" customHeight="1" outlineLevel="1">
      <c r="B6" s="113" t="s">
        <v>80</v>
      </c>
      <c r="C6" s="38">
        <v>7738.76</v>
      </c>
      <c r="D6" s="25">
        <v>8572.49</v>
      </c>
      <c r="E6" s="25">
        <v>11586.45</v>
      </c>
      <c r="F6" s="25">
        <v>15368.78</v>
      </c>
      <c r="G6" s="25">
        <v>20430.88</v>
      </c>
      <c r="H6" s="25">
        <v>23924.38</v>
      </c>
      <c r="I6" s="30">
        <f>30105.83</f>
        <v>30105.83</v>
      </c>
      <c r="J6" s="112">
        <f>'FORCAST SCHEDULES'!J17</f>
        <v>38428.141555139002</v>
      </c>
      <c r="K6" s="63">
        <f>'FORCAST SCHEDULES'!K17</f>
        <v>48418.408204121799</v>
      </c>
      <c r="L6" s="63">
        <f>'FORCAST SCHEDULES'!L17</f>
        <v>60290.444428924398</v>
      </c>
      <c r="M6" s="63">
        <f>'FORCAST SCHEDULES'!M17</f>
        <v>74257.064392883854</v>
      </c>
      <c r="N6" s="75">
        <f>'FORCAST SCHEDULES'!N17</f>
        <v>90525.606910781629</v>
      </c>
      <c r="P6" s="89" t="s">
        <v>70</v>
      </c>
    </row>
    <row r="7" spans="2:17" ht="14.25" customHeight="1" outlineLevel="1">
      <c r="B7" s="114" t="s">
        <v>81</v>
      </c>
      <c r="C7" s="38">
        <f t="shared" ref="C7:N7" si="0">SUM(C4:C6)</f>
        <v>7788.26</v>
      </c>
      <c r="D7" s="25">
        <f t="shared" si="0"/>
        <v>8621.99</v>
      </c>
      <c r="E7" s="25">
        <f t="shared" si="0"/>
        <v>11635.95</v>
      </c>
      <c r="F7" s="25">
        <f t="shared" si="0"/>
        <v>15418.28</v>
      </c>
      <c r="G7" s="25">
        <f t="shared" si="0"/>
        <v>20480.38</v>
      </c>
      <c r="H7" s="25">
        <f t="shared" si="0"/>
        <v>23973.88</v>
      </c>
      <c r="I7" s="30">
        <f t="shared" si="0"/>
        <v>30353.33</v>
      </c>
      <c r="J7" s="38">
        <f t="shared" si="0"/>
        <v>38675.641555139002</v>
      </c>
      <c r="K7" s="25">
        <f t="shared" si="0"/>
        <v>48665.908204121799</v>
      </c>
      <c r="L7" s="25">
        <f t="shared" si="0"/>
        <v>60537.944428924398</v>
      </c>
      <c r="M7" s="25">
        <f t="shared" si="0"/>
        <v>74504.564392883854</v>
      </c>
      <c r="N7" s="30">
        <f t="shared" si="0"/>
        <v>90773.106910781629</v>
      </c>
      <c r="P7" s="75"/>
    </row>
    <row r="8" spans="2:17" ht="14.25" customHeight="1" outlineLevel="1">
      <c r="B8" s="115"/>
      <c r="C8" s="38"/>
      <c r="D8" s="25"/>
      <c r="E8" s="25"/>
      <c r="F8" s="25"/>
      <c r="G8" s="25"/>
      <c r="H8" s="25"/>
      <c r="I8" s="30"/>
      <c r="J8" s="77"/>
      <c r="N8" s="24"/>
      <c r="P8" s="75"/>
    </row>
    <row r="9" spans="2:17" ht="14.25" customHeight="1" outlineLevel="1">
      <c r="B9" s="113" t="s">
        <v>82</v>
      </c>
      <c r="C9" s="38">
        <v>189.55</v>
      </c>
      <c r="D9" s="25">
        <v>263.08999999999997</v>
      </c>
      <c r="E9" s="25">
        <v>242.82</v>
      </c>
      <c r="F9" s="25">
        <v>469.61</v>
      </c>
      <c r="G9" s="25">
        <v>414.47</v>
      </c>
      <c r="H9" s="25">
        <v>552.36</v>
      </c>
      <c r="I9" s="30">
        <v>847.03</v>
      </c>
      <c r="J9" s="112">
        <f>'FORCAST SCHEDULES'!J29</f>
        <v>1031.0647617377656</v>
      </c>
      <c r="K9" s="63">
        <f>'FORCAST SCHEDULES'!K29</f>
        <v>1397.0658993301645</v>
      </c>
      <c r="L9" s="63">
        <f>'FORCAST SCHEDULES'!L29</f>
        <v>1903.4805752781504</v>
      </c>
      <c r="M9" s="63">
        <f>'FORCAST SCHEDULES'!M29</f>
        <v>2493.2452571169911</v>
      </c>
      <c r="N9" s="75">
        <f>'FORCAST SCHEDULES'!N29</f>
        <v>3346.5040423605005</v>
      </c>
      <c r="P9" s="89" t="s">
        <v>70</v>
      </c>
      <c r="Q9" s="31"/>
    </row>
    <row r="10" spans="2:17" ht="14.25" customHeight="1" outlineLevel="1">
      <c r="B10" s="116" t="s">
        <v>83</v>
      </c>
      <c r="C10" s="27">
        <f t="shared" ref="C10:N10" si="1">SUM(C9:C9)</f>
        <v>189.55</v>
      </c>
      <c r="D10" s="28">
        <f t="shared" si="1"/>
        <v>263.08999999999997</v>
      </c>
      <c r="E10" s="28">
        <f t="shared" si="1"/>
        <v>242.82</v>
      </c>
      <c r="F10" s="28">
        <f t="shared" si="1"/>
        <v>469.61</v>
      </c>
      <c r="G10" s="28">
        <f t="shared" si="1"/>
        <v>414.47</v>
      </c>
      <c r="H10" s="28">
        <f t="shared" si="1"/>
        <v>552.36</v>
      </c>
      <c r="I10" s="29">
        <f t="shared" si="1"/>
        <v>847.03</v>
      </c>
      <c r="J10" s="27">
        <f t="shared" si="1"/>
        <v>1031.0647617377656</v>
      </c>
      <c r="K10" s="28">
        <f t="shared" si="1"/>
        <v>1397.0658993301645</v>
      </c>
      <c r="L10" s="28">
        <f t="shared" si="1"/>
        <v>1903.4805752781504</v>
      </c>
      <c r="M10" s="28">
        <f t="shared" si="1"/>
        <v>2493.2452571169911</v>
      </c>
      <c r="N10" s="29">
        <f t="shared" si="1"/>
        <v>3346.5040423605005</v>
      </c>
      <c r="P10" s="75"/>
    </row>
    <row r="11" spans="2:17" ht="14.25" customHeight="1" outlineLevel="1">
      <c r="B11" s="115"/>
      <c r="C11" s="38"/>
      <c r="D11" s="25"/>
      <c r="E11" s="25"/>
      <c r="F11" s="25"/>
      <c r="G11" s="25"/>
      <c r="H11" s="25"/>
      <c r="I11" s="30"/>
      <c r="J11" s="77"/>
      <c r="N11" s="24"/>
      <c r="P11" s="75"/>
    </row>
    <row r="12" spans="2:17" ht="14.25" customHeight="1" outlineLevel="1">
      <c r="B12" s="113" t="s">
        <v>84</v>
      </c>
      <c r="C12" s="38">
        <v>8942.89</v>
      </c>
      <c r="D12" s="25">
        <v>11858.48</v>
      </c>
      <c r="E12" s="25">
        <v>13533.94</v>
      </c>
      <c r="F12" s="25">
        <v>15463.88</v>
      </c>
      <c r="G12" s="25">
        <v>10385.69</v>
      </c>
      <c r="H12" s="25">
        <v>32027.31</v>
      </c>
      <c r="I12" s="30">
        <v>26190.77</v>
      </c>
      <c r="J12" s="112">
        <f>'FORCAST SCHEDULES'!J35</f>
        <v>26256.78577271329</v>
      </c>
      <c r="K12" s="63">
        <f>'FORCAST SCHEDULES'!K35</f>
        <v>26504.99385145136</v>
      </c>
      <c r="L12" s="63">
        <f>'FORCAST SCHEDULES'!L35</f>
        <v>26793.578547567799</v>
      </c>
      <c r="M12" s="63">
        <f>'FORCAST SCHEDULES'!M35</f>
        <v>27222.171211102454</v>
      </c>
      <c r="N12" s="75">
        <f>'FORCAST SCHEDULES'!N35</f>
        <v>27731.371486595886</v>
      </c>
      <c r="P12" s="89" t="s">
        <v>70</v>
      </c>
    </row>
    <row r="13" spans="2:17" ht="14.25" customHeight="1" outlineLevel="1">
      <c r="B13" s="117" t="s">
        <v>85</v>
      </c>
      <c r="C13" s="118">
        <f t="shared" ref="C13:N13" si="2">SUM(C12:C12)</f>
        <v>8942.89</v>
      </c>
      <c r="D13" s="119">
        <f t="shared" si="2"/>
        <v>11858.48</v>
      </c>
      <c r="E13" s="119">
        <f t="shared" si="2"/>
        <v>13533.94</v>
      </c>
      <c r="F13" s="119">
        <f t="shared" si="2"/>
        <v>15463.88</v>
      </c>
      <c r="G13" s="119">
        <f t="shared" si="2"/>
        <v>10385.69</v>
      </c>
      <c r="H13" s="119">
        <f t="shared" si="2"/>
        <v>32027.31</v>
      </c>
      <c r="I13" s="120">
        <f t="shared" si="2"/>
        <v>26190.77</v>
      </c>
      <c r="J13" s="118">
        <f t="shared" si="2"/>
        <v>26256.78577271329</v>
      </c>
      <c r="K13" s="119">
        <f t="shared" si="2"/>
        <v>26504.99385145136</v>
      </c>
      <c r="L13" s="119">
        <f t="shared" si="2"/>
        <v>26793.578547567799</v>
      </c>
      <c r="M13" s="119">
        <f t="shared" si="2"/>
        <v>27222.171211102454</v>
      </c>
      <c r="N13" s="120">
        <f t="shared" si="2"/>
        <v>27731.371486595886</v>
      </c>
      <c r="P13" s="75"/>
    </row>
    <row r="14" spans="2:17" ht="14.25" customHeight="1" outlineLevel="1">
      <c r="B14" s="121" t="s">
        <v>86</v>
      </c>
      <c r="C14" s="27">
        <f t="shared" ref="C14:N14" si="3">C10+C13</f>
        <v>9132.4399999999987</v>
      </c>
      <c r="D14" s="28">
        <f t="shared" si="3"/>
        <v>12121.57</v>
      </c>
      <c r="E14" s="28">
        <f t="shared" si="3"/>
        <v>13776.76</v>
      </c>
      <c r="F14" s="28">
        <f t="shared" si="3"/>
        <v>15933.49</v>
      </c>
      <c r="G14" s="28">
        <f t="shared" si="3"/>
        <v>10800.16</v>
      </c>
      <c r="H14" s="28">
        <f t="shared" si="3"/>
        <v>32579.670000000002</v>
      </c>
      <c r="I14" s="29">
        <f t="shared" si="3"/>
        <v>27037.8</v>
      </c>
      <c r="J14" s="27">
        <f t="shared" si="3"/>
        <v>27287.850534451056</v>
      </c>
      <c r="K14" s="28">
        <f t="shared" si="3"/>
        <v>27902.059750781526</v>
      </c>
      <c r="L14" s="28">
        <f t="shared" si="3"/>
        <v>28697.059122845949</v>
      </c>
      <c r="M14" s="28">
        <f t="shared" si="3"/>
        <v>29715.416468219446</v>
      </c>
      <c r="N14" s="29">
        <f t="shared" si="3"/>
        <v>31077.875528956385</v>
      </c>
      <c r="P14" s="75"/>
    </row>
    <row r="15" spans="2:17" ht="14.25" customHeight="1" outlineLevel="1">
      <c r="B15" s="114"/>
      <c r="C15" s="38"/>
      <c r="D15" s="25"/>
      <c r="E15" s="25"/>
      <c r="F15" s="25"/>
      <c r="G15" s="25"/>
      <c r="H15" s="25"/>
      <c r="I15" s="30"/>
      <c r="J15" s="38"/>
      <c r="K15" s="25"/>
      <c r="L15" s="25"/>
      <c r="M15" s="25"/>
      <c r="N15" s="30"/>
      <c r="P15" s="75"/>
    </row>
    <row r="16" spans="2:17" ht="14.25" customHeight="1" outlineLevel="1">
      <c r="B16" s="115" t="s">
        <v>87</v>
      </c>
      <c r="C16" s="38">
        <v>3057.68</v>
      </c>
      <c r="D16" s="25">
        <v>3426.77</v>
      </c>
      <c r="E16" s="25">
        <v>3792.93</v>
      </c>
      <c r="F16" s="25">
        <v>4255.2299999999996</v>
      </c>
      <c r="G16" s="25">
        <v>5283.8</v>
      </c>
      <c r="H16" s="25">
        <v>8910.4500000000007</v>
      </c>
      <c r="I16" s="30">
        <v>12075.51</v>
      </c>
      <c r="J16" s="112">
        <f>'FORCAST SCHEDULES'!J42</f>
        <v>11000.15630463072</v>
      </c>
      <c r="K16" s="63">
        <f>'FORCAST SCHEDULES'!K42</f>
        <v>10446.797387344322</v>
      </c>
      <c r="L16" s="63">
        <f>'FORCAST SCHEDULES'!L42</f>
        <v>11709.748109809307</v>
      </c>
      <c r="M16" s="63">
        <f>'FORCAST SCHEDULES'!M42</f>
        <v>11743.25567204857</v>
      </c>
      <c r="N16" s="75">
        <f>'FORCAST SCHEDULES'!N42</f>
        <v>12199.590983111091</v>
      </c>
      <c r="P16" s="89" t="s">
        <v>70</v>
      </c>
    </row>
    <row r="17" spans="2:17" ht="14.25" customHeight="1" outlineLevel="1">
      <c r="B17" s="115"/>
      <c r="C17" s="38"/>
      <c r="D17" s="25"/>
      <c r="E17" s="25"/>
      <c r="F17" s="25"/>
      <c r="G17" s="25"/>
      <c r="H17" s="25"/>
      <c r="I17" s="30"/>
      <c r="J17" s="77"/>
      <c r="N17" s="24"/>
      <c r="P17" s="75"/>
    </row>
    <row r="18" spans="2:17" ht="14.25" customHeight="1">
      <c r="B18" s="114" t="s">
        <v>88</v>
      </c>
      <c r="C18" s="38">
        <f t="shared" ref="C18:N18" si="4">SUM(C7,C14,C16)</f>
        <v>19978.379999999997</v>
      </c>
      <c r="D18" s="25">
        <f t="shared" si="4"/>
        <v>24170.329999999998</v>
      </c>
      <c r="E18" s="25">
        <f t="shared" si="4"/>
        <v>29205.64</v>
      </c>
      <c r="F18" s="25">
        <f t="shared" si="4"/>
        <v>35607</v>
      </c>
      <c r="G18" s="25">
        <f t="shared" si="4"/>
        <v>36564.340000000004</v>
      </c>
      <c r="H18" s="25">
        <f t="shared" si="4"/>
        <v>65464</v>
      </c>
      <c r="I18" s="30">
        <f t="shared" si="4"/>
        <v>69466.64</v>
      </c>
      <c r="J18" s="38">
        <f t="shared" si="4"/>
        <v>76963.648394220771</v>
      </c>
      <c r="K18" s="25">
        <f t="shared" si="4"/>
        <v>87014.765342247643</v>
      </c>
      <c r="L18" s="25">
        <f t="shared" si="4"/>
        <v>100944.75166157966</v>
      </c>
      <c r="M18" s="25">
        <f t="shared" si="4"/>
        <v>115963.23653315188</v>
      </c>
      <c r="N18" s="30">
        <f t="shared" si="4"/>
        <v>134050.57342284912</v>
      </c>
      <c r="P18" s="89" t="s">
        <v>70</v>
      </c>
    </row>
    <row r="19" spans="2:17" ht="14.25" customHeight="1">
      <c r="B19" s="122"/>
      <c r="C19" s="38"/>
      <c r="D19" s="25"/>
      <c r="E19" s="25"/>
      <c r="F19" s="25"/>
      <c r="G19" s="25"/>
      <c r="H19" s="25"/>
      <c r="I19" s="30"/>
      <c r="J19" s="77"/>
      <c r="N19" s="24"/>
    </row>
    <row r="20" spans="2:17" ht="14.25" customHeight="1" outlineLevel="1">
      <c r="B20" s="113" t="s">
        <v>89</v>
      </c>
      <c r="C20" s="38">
        <v>645.75</v>
      </c>
      <c r="D20" s="25">
        <v>631.80999999999995</v>
      </c>
      <c r="E20" s="25">
        <v>795.82</v>
      </c>
      <c r="F20" s="25">
        <v>1144.18</v>
      </c>
      <c r="G20" s="25">
        <v>1060.7</v>
      </c>
      <c r="H20" s="25">
        <v>1098.6400000000001</v>
      </c>
      <c r="I20" s="30">
        <v>1655.13</v>
      </c>
      <c r="J20" s="112">
        <f>'FORCAST SCHEDULES'!J9</f>
        <v>2078.7680235999997</v>
      </c>
      <c r="K20" s="63">
        <f>'FORCAST SCHEDULES'!K9</f>
        <v>2551.7225295139997</v>
      </c>
      <c r="L20" s="63">
        <f>'FORCAST SCHEDULES'!L9</f>
        <v>3077.2126801427398</v>
      </c>
      <c r="M20" s="63">
        <f>'FORCAST SCHEDULES'!M9</f>
        <v>3654.9382476497749</v>
      </c>
      <c r="N20" s="75">
        <f>'FORCAST SCHEDULES'!N9</f>
        <v>4280.9952406726097</v>
      </c>
      <c r="P20" s="89" t="s">
        <v>70</v>
      </c>
    </row>
    <row r="21" spans="2:17" ht="14.25" customHeight="1" outlineLevel="1">
      <c r="B21" s="113" t="s">
        <v>90</v>
      </c>
      <c r="C21" s="38">
        <v>5958.6</v>
      </c>
      <c r="D21" s="25">
        <v>5372.7</v>
      </c>
      <c r="E21" s="25">
        <v>7984.79</v>
      </c>
      <c r="F21" s="25">
        <v>8074.19</v>
      </c>
      <c r="G21" s="25">
        <v>12538.66</v>
      </c>
      <c r="H21" s="25">
        <v>20970.169999999998</v>
      </c>
      <c r="I21" s="30">
        <v>20588.79</v>
      </c>
      <c r="J21" s="112">
        <f>'FORCAST SCHEDULES'!J49</f>
        <v>20744.77624815992</v>
      </c>
      <c r="K21" s="63">
        <f>'FORCAST SCHEDULES'!K49</f>
        <v>21185.797817856259</v>
      </c>
      <c r="L21" s="63">
        <f>'FORCAST SCHEDULES'!L49</f>
        <v>21577.519817820055</v>
      </c>
      <c r="M21" s="63">
        <f>'FORCAST SCHEDULES'!M49</f>
        <v>21997.037238482833</v>
      </c>
      <c r="N21" s="75">
        <f>'FORCAST SCHEDULES'!N49</f>
        <v>22447.261947675252</v>
      </c>
      <c r="P21" s="89" t="s">
        <v>70</v>
      </c>
    </row>
    <row r="22" spans="2:17" ht="14.25" customHeight="1" outlineLevel="1">
      <c r="B22" s="123" t="s">
        <v>91</v>
      </c>
      <c r="C22" s="27">
        <f t="shared" ref="C22:N22" si="5">SUM(C20:C21)</f>
        <v>6604.35</v>
      </c>
      <c r="D22" s="28">
        <f t="shared" si="5"/>
        <v>6004.51</v>
      </c>
      <c r="E22" s="28">
        <f t="shared" si="5"/>
        <v>8780.61</v>
      </c>
      <c r="F22" s="28">
        <f t="shared" si="5"/>
        <v>9218.369999999999</v>
      </c>
      <c r="G22" s="28">
        <f t="shared" si="5"/>
        <v>13599.36</v>
      </c>
      <c r="H22" s="28">
        <f t="shared" si="5"/>
        <v>22068.809999999998</v>
      </c>
      <c r="I22" s="29">
        <f t="shared" si="5"/>
        <v>22243.920000000002</v>
      </c>
      <c r="J22" s="27">
        <f t="shared" si="5"/>
        <v>22823.544271759922</v>
      </c>
      <c r="K22" s="28">
        <f t="shared" si="5"/>
        <v>23737.520347370257</v>
      </c>
      <c r="L22" s="28">
        <f t="shared" si="5"/>
        <v>24654.732497962796</v>
      </c>
      <c r="M22" s="28">
        <f t="shared" si="5"/>
        <v>25651.975486132607</v>
      </c>
      <c r="N22" s="29">
        <f t="shared" si="5"/>
        <v>26728.257188347859</v>
      </c>
    </row>
    <row r="23" spans="2:17" ht="14.25" customHeight="1" outlineLevel="1">
      <c r="B23" s="114"/>
      <c r="C23" s="38"/>
      <c r="D23" s="25"/>
      <c r="E23" s="25"/>
      <c r="F23" s="25"/>
      <c r="G23" s="25"/>
      <c r="H23" s="25"/>
      <c r="I23" s="30"/>
      <c r="J23" s="77"/>
      <c r="N23" s="24"/>
    </row>
    <row r="24" spans="2:17" ht="14.25" customHeight="1" outlineLevel="1">
      <c r="B24" s="113" t="s">
        <v>92</v>
      </c>
      <c r="C24" s="38">
        <v>452.51</v>
      </c>
      <c r="D24" s="25">
        <v>652.11</v>
      </c>
      <c r="E24" s="25">
        <v>998.58</v>
      </c>
      <c r="F24" s="25">
        <v>1614.95</v>
      </c>
      <c r="G24" s="25">
        <v>1589.21</v>
      </c>
      <c r="H24" s="25">
        <v>1864.66</v>
      </c>
      <c r="I24" s="30">
        <v>1512.21</v>
      </c>
      <c r="J24" s="112">
        <f>'FORCAST SCHEDULES'!J56</f>
        <v>2386.5907397260276</v>
      </c>
      <c r="K24" s="63">
        <f>'FORCAST SCHEDULES'!K56</f>
        <v>2716.1675561643842</v>
      </c>
      <c r="L24" s="63">
        <f>'FORCAST SCHEDULES'!L56</f>
        <v>3044.8238304602742</v>
      </c>
      <c r="M24" s="63">
        <f>'FORCAST SCHEDULES'!M56</f>
        <v>3733.9155394591785</v>
      </c>
      <c r="N24" s="75">
        <f>'FORCAST SCHEDULES'!N56</f>
        <v>4186.6527986186029</v>
      </c>
      <c r="P24" s="89" t="s">
        <v>70</v>
      </c>
    </row>
    <row r="25" spans="2:17" ht="14.25" customHeight="1" outlineLevel="1">
      <c r="B25" s="113" t="s">
        <v>93</v>
      </c>
      <c r="C25" s="38">
        <v>9540.68</v>
      </c>
      <c r="D25" s="25">
        <v>9237.9</v>
      </c>
      <c r="E25" s="25">
        <v>13457.55</v>
      </c>
      <c r="F25" s="25">
        <v>16322.74</v>
      </c>
      <c r="G25" s="25">
        <v>11583.18</v>
      </c>
      <c r="H25" s="25">
        <v>29111.040000000001</v>
      </c>
      <c r="I25" s="30">
        <v>27514.21</v>
      </c>
      <c r="J25" s="112">
        <f>'CASH FLOW'!K31</f>
        <v>33848.033741317777</v>
      </c>
      <c r="K25" s="63">
        <f>'CASH FLOW'!L31</f>
        <v>38307.641106892224</v>
      </c>
      <c r="L25" s="63">
        <f>'CASH FLOW'!M31</f>
        <v>45862.622729886345</v>
      </c>
      <c r="M25" s="63">
        <f>'CASH FLOW'!N31</f>
        <v>55941.67279772149</v>
      </c>
      <c r="N25" s="75">
        <f>'CASH FLOW'!O31</f>
        <v>67436.532093981703</v>
      </c>
      <c r="P25" s="89" t="s">
        <v>70</v>
      </c>
    </row>
    <row r="26" spans="2:17" ht="14.25" customHeight="1" outlineLevel="1">
      <c r="B26" s="113" t="s">
        <v>94</v>
      </c>
      <c r="C26" s="38">
        <v>3380.84</v>
      </c>
      <c r="D26" s="25">
        <v>7835.81</v>
      </c>
      <c r="E26" s="25">
        <v>5968.9</v>
      </c>
      <c r="F26" s="25">
        <v>8450.94</v>
      </c>
      <c r="G26" s="25">
        <v>9006.3799999999992</v>
      </c>
      <c r="H26" s="25">
        <v>11566.99</v>
      </c>
      <c r="I26" s="30">
        <f>17957.9</f>
        <v>17957.900000000001</v>
      </c>
      <c r="J26" s="112">
        <f>'FORCAST SCHEDULES'!J64</f>
        <v>17905.479641417052</v>
      </c>
      <c r="K26" s="63">
        <f>'FORCAST SCHEDULES'!K64</f>
        <v>22253.436331820769</v>
      </c>
      <c r="L26" s="63">
        <f>'FORCAST SCHEDULES'!L64</f>
        <v>27382.572603270237</v>
      </c>
      <c r="M26" s="63">
        <f>'FORCAST SCHEDULES'!M64</f>
        <v>30635.672709838593</v>
      </c>
      <c r="N26" s="75">
        <f>'FORCAST SCHEDULES'!N64</f>
        <v>35699.131341900931</v>
      </c>
      <c r="P26" s="89" t="s">
        <v>70</v>
      </c>
    </row>
    <row r="27" spans="2:17" ht="14.25" customHeight="1" outlineLevel="1">
      <c r="B27" s="124" t="s">
        <v>95</v>
      </c>
      <c r="C27" s="27">
        <f t="shared" ref="C27:N27" si="6">SUM(C24:C26)</f>
        <v>13374.03</v>
      </c>
      <c r="D27" s="28">
        <f t="shared" si="6"/>
        <v>17725.82</v>
      </c>
      <c r="E27" s="28">
        <f t="shared" si="6"/>
        <v>20425.03</v>
      </c>
      <c r="F27" s="28">
        <f t="shared" si="6"/>
        <v>26388.629999999997</v>
      </c>
      <c r="G27" s="28">
        <f t="shared" si="6"/>
        <v>22178.769999999997</v>
      </c>
      <c r="H27" s="28">
        <f t="shared" si="6"/>
        <v>42542.69</v>
      </c>
      <c r="I27" s="29">
        <f t="shared" si="6"/>
        <v>46984.32</v>
      </c>
      <c r="J27" s="27">
        <f t="shared" si="6"/>
        <v>54140.104122460863</v>
      </c>
      <c r="K27" s="28">
        <f t="shared" si="6"/>
        <v>63277.244994877379</v>
      </c>
      <c r="L27" s="28">
        <f t="shared" si="6"/>
        <v>76290.019163616846</v>
      </c>
      <c r="M27" s="28">
        <f t="shared" si="6"/>
        <v>90311.261047019259</v>
      </c>
      <c r="N27" s="29">
        <f t="shared" si="6"/>
        <v>107322.31623450122</v>
      </c>
    </row>
    <row r="28" spans="2:17" ht="14.25" customHeight="1" outlineLevel="1">
      <c r="B28" s="115"/>
      <c r="C28" s="38"/>
      <c r="D28" s="25"/>
      <c r="E28" s="25"/>
      <c r="F28" s="25"/>
      <c r="G28" s="25"/>
      <c r="H28" s="25"/>
      <c r="I28" s="30"/>
      <c r="J28" s="77"/>
      <c r="N28" s="24"/>
    </row>
    <row r="29" spans="2:17" ht="14.25" customHeight="1" outlineLevel="1">
      <c r="B29" s="125" t="s">
        <v>96</v>
      </c>
      <c r="C29" s="38">
        <v>0</v>
      </c>
      <c r="D29" s="25">
        <v>440</v>
      </c>
      <c r="E29" s="25">
        <v>0</v>
      </c>
      <c r="F29" s="25">
        <v>0</v>
      </c>
      <c r="G29" s="25">
        <v>786.21</v>
      </c>
      <c r="H29" s="25">
        <v>852.5</v>
      </c>
      <c r="I29" s="30">
        <v>238.4</v>
      </c>
      <c r="J29" s="38">
        <v>0</v>
      </c>
      <c r="K29" s="25">
        <v>0</v>
      </c>
      <c r="L29" s="25">
        <v>0</v>
      </c>
      <c r="M29" s="25">
        <v>0</v>
      </c>
      <c r="N29" s="30">
        <v>0</v>
      </c>
      <c r="P29" s="63">
        <v>0</v>
      </c>
      <c r="Q29" s="31" t="s">
        <v>6</v>
      </c>
    </row>
    <row r="30" spans="2:17" ht="14.25" customHeight="1" outlineLevel="1">
      <c r="B30" s="114"/>
      <c r="C30" s="38"/>
      <c r="D30" s="25"/>
      <c r="E30" s="25"/>
      <c r="F30" s="25"/>
      <c r="G30" s="25"/>
      <c r="H30" s="25"/>
      <c r="I30" s="30"/>
      <c r="J30" s="77"/>
      <c r="N30" s="24"/>
      <c r="P30" s="89" t="s">
        <v>70</v>
      </c>
    </row>
    <row r="31" spans="2:17" ht="14.25" customHeight="1">
      <c r="B31" s="121" t="s">
        <v>97</v>
      </c>
      <c r="C31" s="27">
        <f t="shared" ref="C31:N31" si="7">SUM(C29,C27,C22)</f>
        <v>19978.38</v>
      </c>
      <c r="D31" s="28">
        <f t="shared" si="7"/>
        <v>24170.33</v>
      </c>
      <c r="E31" s="28">
        <f t="shared" si="7"/>
        <v>29205.64</v>
      </c>
      <c r="F31" s="28">
        <f t="shared" si="7"/>
        <v>35607</v>
      </c>
      <c r="G31" s="28">
        <f t="shared" si="7"/>
        <v>36564.339999999997</v>
      </c>
      <c r="H31" s="28">
        <f t="shared" si="7"/>
        <v>65464</v>
      </c>
      <c r="I31" s="29">
        <f t="shared" si="7"/>
        <v>69466.64</v>
      </c>
      <c r="J31" s="27">
        <f t="shared" si="7"/>
        <v>76963.648394220785</v>
      </c>
      <c r="K31" s="28">
        <f t="shared" si="7"/>
        <v>87014.765342247643</v>
      </c>
      <c r="L31" s="28">
        <f t="shared" si="7"/>
        <v>100944.75166157965</v>
      </c>
      <c r="M31" s="28">
        <f t="shared" si="7"/>
        <v>115963.23653315187</v>
      </c>
      <c r="N31" s="29">
        <f t="shared" si="7"/>
        <v>134050.57342284909</v>
      </c>
    </row>
    <row r="32" spans="2:17" s="25" customFormat="1" ht="14.25" customHeight="1">
      <c r="B32" s="126" t="s">
        <v>98</v>
      </c>
      <c r="C32" s="96">
        <f t="shared" ref="C32:N32" si="8">C31-C18</f>
        <v>0</v>
      </c>
      <c r="D32" s="97">
        <f t="shared" si="8"/>
        <v>0</v>
      </c>
      <c r="E32" s="97">
        <f t="shared" si="8"/>
        <v>0</v>
      </c>
      <c r="F32" s="97">
        <f t="shared" si="8"/>
        <v>0</v>
      </c>
      <c r="G32" s="97">
        <f t="shared" si="8"/>
        <v>0</v>
      </c>
      <c r="H32" s="97">
        <f t="shared" si="8"/>
        <v>0</v>
      </c>
      <c r="I32" s="98">
        <f t="shared" si="8"/>
        <v>0</v>
      </c>
      <c r="J32" s="97">
        <f t="shared" si="8"/>
        <v>0</v>
      </c>
      <c r="K32" s="97">
        <f t="shared" si="8"/>
        <v>0</v>
      </c>
      <c r="L32" s="97">
        <f t="shared" si="8"/>
        <v>0</v>
      </c>
      <c r="M32" s="97">
        <f t="shared" si="8"/>
        <v>0</v>
      </c>
      <c r="N32" s="98">
        <f t="shared" si="8"/>
        <v>0</v>
      </c>
      <c r="P32" s="63"/>
    </row>
    <row r="36" spans="8:9" ht="14.25" customHeight="1">
      <c r="H36" s="25"/>
      <c r="I36" s="25"/>
    </row>
  </sheetData>
  <mergeCells count="1">
    <mergeCell ref="B2:B3"/>
  </mergeCells>
  <hyperlinks>
    <hyperlink ref="Q4" location="'ASSUMPTIONS AND REASONING'!A1" display="VIEW ASSUMPTIONS AND REASONING FILE" xr:uid="{00000000-0004-0000-0200-000000000000}"/>
    <hyperlink ref="Q5" location="'ASSUMPTIONS AND REASONING'!A1" display="VIEW ASSUMPTIONS AND REASONING FILE" xr:uid="{00000000-0004-0000-0200-000001000000}"/>
    <hyperlink ref="P6" location="'FORCAST SCHEDULES'!A1" display="Values from Forcast Schedules" xr:uid="{00000000-0004-0000-0200-000002000000}"/>
    <hyperlink ref="P9" location="'FORCAST SCHEDULES'!A1" display="Values from Forcast Schedules" xr:uid="{00000000-0004-0000-0200-000003000000}"/>
    <hyperlink ref="P12" location="'FORCAST SCHEDULES'!A1" display="Values from Forcast Schedules" xr:uid="{00000000-0004-0000-0200-000004000000}"/>
    <hyperlink ref="P16" location="'FORCAST SCHEDULES'!A1" display="Values from Forcast Schedules" xr:uid="{00000000-0004-0000-0200-000005000000}"/>
    <hyperlink ref="P18" location="'FORCAST SCHEDULES'!A1" display="Values from Forcast Schedules" xr:uid="{00000000-0004-0000-0200-000006000000}"/>
    <hyperlink ref="P20" location="'FORCAST SCHEDULES'!A1" display="Values from Forcast Schedules" xr:uid="{00000000-0004-0000-0200-000007000000}"/>
    <hyperlink ref="P21" location="'FORCAST SCHEDULES'!A1" display="Values from Forcast Schedules" xr:uid="{00000000-0004-0000-0200-000008000000}"/>
    <hyperlink ref="P24" location="'FORCAST SCHEDULES'!A1" display="Values from Forcast Schedules" xr:uid="{00000000-0004-0000-0200-000009000000}"/>
    <hyperlink ref="P25" location="'FORCAST SCHEDULES'!A1" display="Values from Forcast Schedules" xr:uid="{00000000-0004-0000-0200-00000A000000}"/>
    <hyperlink ref="P26" location="'FORCAST SCHEDULES'!A1" display="Values from Forcast Schedules" xr:uid="{00000000-0004-0000-0200-00000B000000}"/>
    <hyperlink ref="Q29" location="'ASSUMPTIONS AND REASONING'!A1" display="VIEW ASSUMPTIONS AND REASONING FILE" xr:uid="{00000000-0004-0000-0200-00000C000000}"/>
    <hyperlink ref="P30" location="'FORCAST SCHEDULES'!A1" display="Values from Forcast Schedules" xr:uid="{00000000-0004-0000-0200-00000D000000}"/>
  </hyperlink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P31"/>
  <sheetViews>
    <sheetView showGridLines="0" zoomScaleNormal="100" workbookViewId="0">
      <selection activeCell="C36" sqref="C36"/>
    </sheetView>
  </sheetViews>
  <sheetFormatPr defaultColWidth="8.5546875" defaultRowHeight="14.4"/>
  <cols>
    <col min="1" max="1" width="4.6640625" customWidth="1"/>
    <col min="2" max="2" width="46.77734375" customWidth="1"/>
    <col min="3" max="5" width="9.44140625" customWidth="1"/>
    <col min="6" max="9" width="10.44140625" customWidth="1"/>
    <col min="10" max="13" width="8.88671875" customWidth="1"/>
    <col min="14" max="14" width="11.109375" customWidth="1"/>
    <col min="15" max="15" width="8.88671875" customWidth="1"/>
    <col min="16" max="16" width="9.88671875" customWidth="1"/>
  </cols>
  <sheetData>
    <row r="2" spans="2:16" ht="14.25" customHeight="1">
      <c r="B2" s="11" t="s">
        <v>99</v>
      </c>
      <c r="C2" s="14" t="s">
        <v>1</v>
      </c>
      <c r="D2" s="15" t="s">
        <v>1</v>
      </c>
      <c r="E2" s="15" t="s">
        <v>1</v>
      </c>
      <c r="F2" s="15" t="s">
        <v>1</v>
      </c>
      <c r="G2" s="15" t="s">
        <v>1</v>
      </c>
      <c r="H2" s="15" t="s">
        <v>1</v>
      </c>
      <c r="I2" s="16" t="s">
        <v>1</v>
      </c>
      <c r="J2" s="100" t="s">
        <v>2</v>
      </c>
      <c r="K2" s="17" t="s">
        <v>2</v>
      </c>
      <c r="L2" s="17" t="s">
        <v>2</v>
      </c>
      <c r="M2" s="17" t="s">
        <v>2</v>
      </c>
      <c r="N2" s="18" t="s">
        <v>2</v>
      </c>
      <c r="P2" s="127" t="s">
        <v>100</v>
      </c>
    </row>
    <row r="3" spans="2:16" ht="14.25" customHeight="1">
      <c r="B3" s="11"/>
      <c r="C3" s="72">
        <v>2019</v>
      </c>
      <c r="D3" s="73">
        <v>2020</v>
      </c>
      <c r="E3" s="73">
        <v>2021</v>
      </c>
      <c r="F3" s="73">
        <v>2022</v>
      </c>
      <c r="G3" s="73">
        <v>2023</v>
      </c>
      <c r="H3" s="73">
        <v>2024</v>
      </c>
      <c r="I3" s="74">
        <v>2025</v>
      </c>
      <c r="J3" s="72">
        <v>2026</v>
      </c>
      <c r="K3" s="73">
        <v>2027</v>
      </c>
      <c r="L3" s="73">
        <v>2028</v>
      </c>
      <c r="M3" s="73">
        <v>2029</v>
      </c>
      <c r="N3" s="74">
        <v>2030</v>
      </c>
    </row>
    <row r="4" spans="2:16" ht="14.25" customHeight="1">
      <c r="B4" s="116"/>
      <c r="C4" s="27"/>
      <c r="D4" s="28"/>
      <c r="E4" s="28"/>
      <c r="F4" s="28"/>
      <c r="G4" s="28"/>
      <c r="H4" s="28"/>
      <c r="I4" s="29"/>
      <c r="J4" s="72"/>
      <c r="K4" s="73"/>
      <c r="L4" s="73"/>
      <c r="M4" s="73"/>
      <c r="N4" s="74"/>
    </row>
    <row r="5" spans="2:16" ht="14.25" customHeight="1">
      <c r="B5" s="115" t="s">
        <v>101</v>
      </c>
      <c r="C5" s="38"/>
      <c r="D5" s="25"/>
      <c r="E5" s="25"/>
      <c r="F5" s="25"/>
      <c r="G5" s="25"/>
      <c r="H5" s="25"/>
      <c r="I5" s="30"/>
      <c r="J5" s="77"/>
      <c r="N5" s="24"/>
    </row>
    <row r="6" spans="2:16" ht="14.25" customHeight="1">
      <c r="B6" s="113" t="s">
        <v>102</v>
      </c>
      <c r="C6" s="38">
        <f>'INCOME STATEMENT'!C33/'INCOME STATEMENT'!C38</f>
        <v>6.9011717171717173</v>
      </c>
      <c r="D6" s="25">
        <f>'INCOME STATEMENT'!D33/'INCOME STATEMENT'!D38</f>
        <v>7.6152727272727274</v>
      </c>
      <c r="E6" s="25">
        <f>'INCOME STATEMENT'!E33/'INCOME STATEMENT'!E38</f>
        <v>14.442101010101011</v>
      </c>
      <c r="F6" s="25">
        <f>'INCOME STATEMENT'!F33/'INCOME STATEMENT'!F38</f>
        <v>20.458181818181817</v>
      </c>
      <c r="G6" s="25">
        <f>'INCOME STATEMENT'!G33/'INCOME STATEMENT'!G38</f>
        <v>29.717575757575759</v>
      </c>
      <c r="H6" s="25">
        <f>'INCOME STATEMENT'!H33/'INCOME STATEMENT'!H38</f>
        <v>33.556767676767677</v>
      </c>
      <c r="I6" s="30">
        <f>'INCOME STATEMENT'!I33/'INCOME STATEMENT'!I38</f>
        <v>45.340767676767676</v>
      </c>
      <c r="J6" s="38">
        <f>'INCOME STATEMENT'!J33/'INCOME STATEMENT'!J38</f>
        <v>54.234679407878787</v>
      </c>
      <c r="K6" s="25">
        <f>'INCOME STATEMENT'!K33/'INCOME STATEMENT'!K38</f>
        <v>65.104376989135162</v>
      </c>
      <c r="L6" s="25">
        <f>'INCOME STATEMENT'!L33/'INCOME STATEMENT'!L38</f>
        <v>77.367456662121896</v>
      </c>
      <c r="M6" s="25">
        <f>'INCOME STATEMENT'!M33/'INCOME STATEMENT'!M38</f>
        <v>91.01739956962831</v>
      </c>
      <c r="N6" s="30">
        <f>'INCOME STATEMENT'!N33/'INCOME STATEMENT'!N38</f>
        <v>106.01852406580493</v>
      </c>
      <c r="P6" t="s">
        <v>103</v>
      </c>
    </row>
    <row r="7" spans="2:16" ht="14.25" customHeight="1">
      <c r="B7" s="111" t="s">
        <v>104</v>
      </c>
      <c r="C7" s="38">
        <f>'BALANCE SHEET'!C7/'INCOME STATEMENT'!C38</f>
        <v>31.467717171717172</v>
      </c>
      <c r="D7" s="25">
        <f>'BALANCE SHEET'!D7/'INCOME STATEMENT'!D38</f>
        <v>34.836323232323231</v>
      </c>
      <c r="E7" s="25">
        <f>'BALANCE SHEET'!E7/'INCOME STATEMENT'!E38</f>
        <v>47.013939393939395</v>
      </c>
      <c r="F7" s="25">
        <f>'BALANCE SHEET'!F7/'INCOME STATEMENT'!F38</f>
        <v>62.296080808080809</v>
      </c>
      <c r="G7" s="25">
        <f>'BALANCE SHEET'!G7/'INCOME STATEMENT'!G38</f>
        <v>82.7490101010101</v>
      </c>
      <c r="H7" s="25">
        <f>'BALANCE SHEET'!H7/'INCOME STATEMENT'!H38</f>
        <v>96.864161616161624</v>
      </c>
      <c r="I7" s="30">
        <f>'BALANCE SHEET'!I7/'INCOME STATEMENT'!I38</f>
        <v>122.63971717171718</v>
      </c>
      <c r="J7" s="38">
        <f>'BALANCE SHEET'!J7/'INCOME STATEMENT'!J38</f>
        <v>156.26521840460202</v>
      </c>
      <c r="K7" s="25">
        <f>'BALANCE SHEET'!K7/'INCOME STATEMENT'!K38</f>
        <v>196.62993213786586</v>
      </c>
      <c r="L7" s="25">
        <f>'BALANCE SHEET'!L7/'INCOME STATEMENT'!L38</f>
        <v>244.59775526838141</v>
      </c>
      <c r="M7" s="25">
        <f>'BALANCE SHEET'!M7/'INCOME STATEMENT'!M38</f>
        <v>301.02854300155093</v>
      </c>
      <c r="N7" s="30">
        <f>'BALANCE SHEET'!N7/'INCOME STATEMENT'!N38</f>
        <v>366.76002792234999</v>
      </c>
      <c r="P7" t="s">
        <v>105</v>
      </c>
    </row>
    <row r="8" spans="2:16" ht="15" customHeight="1">
      <c r="B8" s="128"/>
      <c r="C8" s="38"/>
      <c r="D8" s="25"/>
      <c r="E8" s="25"/>
      <c r="F8" s="25"/>
      <c r="G8" s="25"/>
      <c r="H8" s="25"/>
      <c r="I8" s="30"/>
      <c r="J8" s="77"/>
      <c r="N8" s="24"/>
    </row>
    <row r="9" spans="2:16" ht="14.25" customHeight="1">
      <c r="B9" s="115" t="s">
        <v>106</v>
      </c>
      <c r="C9" s="38"/>
      <c r="D9" s="25"/>
      <c r="E9" s="25"/>
      <c r="F9" s="25"/>
      <c r="G9" s="25"/>
      <c r="H9" s="25"/>
      <c r="I9" s="30"/>
      <c r="J9" s="77"/>
      <c r="N9" s="24"/>
    </row>
    <row r="10" spans="2:16" ht="14.25" customHeight="1">
      <c r="B10" s="113" t="s">
        <v>107</v>
      </c>
      <c r="C10" s="38">
        <f>'BALANCE SHEET'!C27/'BALANCE SHEET'!C13</f>
        <v>1.4954930676772276</v>
      </c>
      <c r="D10" s="25">
        <f>'BALANCE SHEET'!D27/'BALANCE SHEET'!D13</f>
        <v>1.4947801067253139</v>
      </c>
      <c r="E10" s="25">
        <f>'BALANCE SHEET'!E27/'BALANCE SHEET'!E13</f>
        <v>1.5091710174568527</v>
      </c>
      <c r="F10" s="25">
        <f>'BALANCE SHEET'!F27/'BALANCE SHEET'!F13</f>
        <v>1.7064688810311512</v>
      </c>
      <c r="G10" s="25">
        <f>'BALANCE SHEET'!G27/'BALANCE SHEET'!G13</f>
        <v>2.1355124214183165</v>
      </c>
      <c r="H10" s="25">
        <f>'BALANCE SHEET'!H27/'BALANCE SHEET'!H13</f>
        <v>1.3283254197745611</v>
      </c>
      <c r="I10" s="30">
        <f>'BALANCE SHEET'!I27/'BALANCE SHEET'!I13</f>
        <v>1.7939266390411583</v>
      </c>
      <c r="J10" s="38">
        <f>'BALANCE SHEET'!J27/'BALANCE SHEET'!J13</f>
        <v>2.0619471321095446</v>
      </c>
      <c r="K10" s="25">
        <f>'BALANCE SHEET'!K27/'BALANCE SHEET'!K13</f>
        <v>2.3873706724671604</v>
      </c>
      <c r="L10" s="25">
        <f>'BALANCE SHEET'!L27/'BALANCE SHEET'!L13</f>
        <v>2.8473247434334268</v>
      </c>
      <c r="M10" s="25">
        <f>'BALANCE SHEET'!M27/'BALANCE SHEET'!M13</f>
        <v>3.3175627449652572</v>
      </c>
      <c r="N10" s="30">
        <f>'BALANCE SHEET'!N27/'BALANCE SHEET'!N13</f>
        <v>3.8700688239085492</v>
      </c>
      <c r="P10" t="s">
        <v>108</v>
      </c>
    </row>
    <row r="11" spans="2:16" ht="14.25" customHeight="1">
      <c r="B11" s="111" t="s">
        <v>109</v>
      </c>
      <c r="C11" s="38">
        <f>('BALANCE SHEET'!C24+'BALANCE SHEET'!C25)/'BALANCE SHEET'!C13</f>
        <v>1.1174452553928318</v>
      </c>
      <c r="D11" s="25">
        <f>('BALANCE SHEET'!D24+'BALANCE SHEET'!D25)/'BALANCE SHEET'!D13</f>
        <v>0.83400317747299824</v>
      </c>
      <c r="E11" s="25">
        <f>('BALANCE SHEET'!E24+'BALANCE SHEET'!E25)/'BALANCE SHEET'!E13</f>
        <v>1.068139063716848</v>
      </c>
      <c r="F11" s="25">
        <f>('BALANCE SHEET'!F24+'BALANCE SHEET'!F25)/'BALANCE SHEET'!F13</f>
        <v>1.1599734348688686</v>
      </c>
      <c r="G11" s="25">
        <f>('BALANCE SHEET'!G24+'BALANCE SHEET'!G25)/'BALANCE SHEET'!G13</f>
        <v>1.2683211226216071</v>
      </c>
      <c r="H11" s="25">
        <f>('BALANCE SHEET'!H24+'BALANCE SHEET'!H25)/'BALANCE SHEET'!H13</f>
        <v>0.96716520994114086</v>
      </c>
      <c r="I11" s="30">
        <f>('BALANCE SHEET'!I24+'BALANCE SHEET'!I25)/'BALANCE SHEET'!I13</f>
        <v>1.1082690581452932</v>
      </c>
      <c r="J11" s="38">
        <f>('BALANCE SHEET'!J24+'BALANCE SHEET'!J25)/'BALANCE SHEET'!J13</f>
        <v>1.380009906570504</v>
      </c>
      <c r="K11" s="25">
        <f>('BALANCE SHEET'!K24+'BALANCE SHEET'!K25)/'BALANCE SHEET'!K13</f>
        <v>1.5477765772358492</v>
      </c>
      <c r="L11" s="25">
        <f>('BALANCE SHEET'!L24+'BALANCE SHEET'!L25)/'BALANCE SHEET'!L13</f>
        <v>1.8253420861091441</v>
      </c>
      <c r="M11" s="25">
        <f>('BALANCE SHEET'!M24+'BALANCE SHEET'!M25)/'BALANCE SHEET'!M13</f>
        <v>2.1921685773852682</v>
      </c>
      <c r="N11" s="30">
        <f>('BALANCE SHEET'!N24+'BALANCE SHEET'!N25)/'BALANCE SHEET'!N13</f>
        <v>2.5827494657889449</v>
      </c>
      <c r="P11" t="s">
        <v>110</v>
      </c>
    </row>
    <row r="12" spans="2:16" ht="15" customHeight="1">
      <c r="B12" s="128"/>
      <c r="C12" s="38"/>
      <c r="D12" s="25"/>
      <c r="E12" s="25"/>
      <c r="F12" s="25"/>
      <c r="G12" s="25"/>
      <c r="H12" s="25"/>
      <c r="I12" s="30"/>
      <c r="J12" s="77"/>
      <c r="N12" s="24"/>
    </row>
    <row r="13" spans="2:16" ht="14.25" customHeight="1">
      <c r="B13" s="115" t="s">
        <v>111</v>
      </c>
      <c r="C13" s="38"/>
      <c r="D13" s="25"/>
      <c r="E13" s="25"/>
      <c r="F13" s="25"/>
      <c r="G13" s="25"/>
      <c r="H13" s="25"/>
      <c r="I13" s="30"/>
      <c r="J13" s="77"/>
      <c r="N13" s="24"/>
    </row>
    <row r="14" spans="2:16" ht="14.25" customHeight="1">
      <c r="B14" s="113" t="s">
        <v>112</v>
      </c>
      <c r="C14" s="34">
        <f>'INCOME STATEMENT'!C7</f>
        <v>1</v>
      </c>
      <c r="D14" s="32">
        <f>'INCOME STATEMENT'!D7</f>
        <v>1</v>
      </c>
      <c r="E14" s="32">
        <f>'INCOME STATEMENT'!E7</f>
        <v>1</v>
      </c>
      <c r="F14" s="32">
        <f>'INCOME STATEMENT'!F7</f>
        <v>1</v>
      </c>
      <c r="G14" s="32">
        <f>'INCOME STATEMENT'!G7</f>
        <v>1</v>
      </c>
      <c r="H14" s="32">
        <f>'INCOME STATEMENT'!H7</f>
        <v>1</v>
      </c>
      <c r="I14" s="35">
        <f>'INCOME STATEMENT'!I7</f>
        <v>1</v>
      </c>
      <c r="J14" s="34">
        <f>'INCOME STATEMENT'!J7</f>
        <v>1</v>
      </c>
      <c r="K14" s="32">
        <f>'INCOME STATEMENT'!K7</f>
        <v>1</v>
      </c>
      <c r="L14" s="32">
        <f>'INCOME STATEMENT'!L7</f>
        <v>1</v>
      </c>
      <c r="M14" s="32">
        <f>'INCOME STATEMENT'!M7</f>
        <v>1</v>
      </c>
      <c r="N14" s="35">
        <f>'INCOME STATEMENT'!N7</f>
        <v>1</v>
      </c>
      <c r="P14" t="s">
        <v>113</v>
      </c>
    </row>
    <row r="15" spans="2:16" ht="14.25" customHeight="1">
      <c r="B15" s="111" t="s">
        <v>114</v>
      </c>
      <c r="C15" s="34">
        <f>'INCOME STATEMENT'!C15/'INCOME STATEMENT'!C4</f>
        <v>0.64198544081243203</v>
      </c>
      <c r="D15" s="32">
        <f>'INCOME STATEMENT'!D15/'INCOME STATEMENT'!D4</f>
        <v>0.64596784998560419</v>
      </c>
      <c r="E15" s="32">
        <f>'INCOME STATEMENT'!E15/'INCOME STATEMENT'!E4</f>
        <v>0.73614800118048218</v>
      </c>
      <c r="F15" s="32">
        <f>'INCOME STATEMENT'!F15/'INCOME STATEMENT'!F4</f>
        <v>0.72796505767723152</v>
      </c>
      <c r="G15" s="32">
        <f>'INCOME STATEMENT'!G15/'INCOME STATEMENT'!G4</f>
        <v>0.81233130904183537</v>
      </c>
      <c r="H15" s="32">
        <f>'INCOME STATEMENT'!H15/'INCOME STATEMENT'!H4</f>
        <v>0.78558863328822737</v>
      </c>
      <c r="I15" s="35">
        <f>'INCOME STATEMENT'!I15/'INCOME STATEMENT'!I4</f>
        <v>0.7514730762499271</v>
      </c>
      <c r="J15" s="34">
        <f>'INCOME STATEMENT'!J15/'INCOME STATEMENT'!J4</f>
        <v>0.76869999999999994</v>
      </c>
      <c r="K15" s="32">
        <f>'INCOME STATEMENT'!K15/'INCOME STATEMENT'!K4</f>
        <v>0.76870000000000005</v>
      </c>
      <c r="L15" s="32">
        <f>'INCOME STATEMENT'!L15/'INCOME STATEMENT'!L4</f>
        <v>0.76869999999999994</v>
      </c>
      <c r="M15" s="32">
        <f>'INCOME STATEMENT'!M15/'INCOME STATEMENT'!M4</f>
        <v>0.76869999999999994</v>
      </c>
      <c r="N15" s="35">
        <f>'INCOME STATEMENT'!N15/'INCOME STATEMENT'!N4</f>
        <v>0.76869999999999994</v>
      </c>
      <c r="P15" t="s">
        <v>115</v>
      </c>
    </row>
    <row r="16" spans="2:16" ht="14.25" customHeight="1">
      <c r="B16" s="113" t="s">
        <v>116</v>
      </c>
      <c r="C16" s="34">
        <f>'INCOME STATEMENT'!C21</f>
        <v>0.59460469336963118</v>
      </c>
      <c r="D16" s="32">
        <f>'INCOME STATEMENT'!D21</f>
        <v>0.59443318424255909</v>
      </c>
      <c r="E16" s="32">
        <f>'INCOME STATEMENT'!E21</f>
        <v>0.69596715983800372</v>
      </c>
      <c r="F16" s="32">
        <f>'INCOME STATEMENT'!F21</f>
        <v>0.69011087467801546</v>
      </c>
      <c r="G16" s="32">
        <f>'INCOME STATEMENT'!G21</f>
        <v>0.77994264507422406</v>
      </c>
      <c r="H16" s="32">
        <f>'INCOME STATEMENT'!H21</f>
        <v>0.75588633288227336</v>
      </c>
      <c r="I16" s="35">
        <f>'INCOME STATEMENT'!I21</f>
        <v>0.71958520506388191</v>
      </c>
      <c r="J16" s="34">
        <f>'INCOME STATEMENT'!J21</f>
        <v>0.73312553346309484</v>
      </c>
      <c r="K16" s="32">
        <f>'INCOME STATEMENT'!K21</f>
        <v>0.73178226562365989</v>
      </c>
      <c r="L16" s="32">
        <f>'INCOME STATEMENT'!L21</f>
        <v>0.73066772709140004</v>
      </c>
      <c r="M16" s="32">
        <f>'INCOME STATEMENT'!M21</f>
        <v>0.7296560318894747</v>
      </c>
      <c r="N16" s="35">
        <f>'INCOME STATEMENT'!N21</f>
        <v>0.72867786205734608</v>
      </c>
      <c r="P16" t="s">
        <v>117</v>
      </c>
    </row>
    <row r="17" spans="2:16" ht="14.25" customHeight="1">
      <c r="B17" s="111" t="s">
        <v>118</v>
      </c>
      <c r="C17" s="34">
        <f>'INCOME STATEMENT'!C35</f>
        <v>0.56983672625124271</v>
      </c>
      <c r="D17" s="32">
        <f>'INCOME STATEMENT'!D35</f>
        <v>0.53729122302896581</v>
      </c>
      <c r="E17" s="32">
        <f>'INCOME STATEMENT'!E35</f>
        <v>0.63547277957339088</v>
      </c>
      <c r="F17" s="32">
        <f>'INCOME STATEMENT'!F35</f>
        <v>0.56707358046813749</v>
      </c>
      <c r="G17" s="32">
        <f>'INCOME STATEMENT'!G35</f>
        <v>0.62036943319838056</v>
      </c>
      <c r="H17" s="32">
        <f>'INCOME STATEMENT'!H35</f>
        <v>0.56192828146143436</v>
      </c>
      <c r="I17" s="35">
        <f>'INCOME STATEMENT'!I35</f>
        <v>0.65467825681115455</v>
      </c>
      <c r="J17" s="34">
        <f>'INCOME STATEMENT'!J35</f>
        <v>0.64718844592565017</v>
      </c>
      <c r="K17" s="32">
        <f>'INCOME STATEMENT'!K35</f>
        <v>0.65012364267627576</v>
      </c>
      <c r="L17" s="32">
        <f>'INCOME STATEMENT'!L35</f>
        <v>0.65472976607815792</v>
      </c>
      <c r="M17" s="32">
        <f>'INCOME STATEMENT'!M35</f>
        <v>0.66115344215100857</v>
      </c>
      <c r="N17" s="35">
        <f>'INCOME STATEMENT'!N35</f>
        <v>0.6696714030056482</v>
      </c>
      <c r="P17" t="s">
        <v>119</v>
      </c>
    </row>
    <row r="18" spans="2:16" ht="14.25" customHeight="1">
      <c r="B18" s="113" t="s">
        <v>120</v>
      </c>
      <c r="C18" s="38">
        <f>'INCOME STATEMENT'!C33/'BALANCE SHEET'!C7</f>
        <v>0.21930957620829297</v>
      </c>
      <c r="D18" s="25">
        <f>'INCOME STATEMENT'!D33*2/('BALANCE SHEET'!C7+'BALANCE SHEET'!D7)</f>
        <v>0.22970765222955164</v>
      </c>
      <c r="E18" s="25">
        <f>'INCOME STATEMENT'!E33*2/('BALANCE SHEET'!D7+'BALANCE SHEET'!E7)</f>
        <v>0.35289076776809486</v>
      </c>
      <c r="F18" s="25">
        <f>'INCOME STATEMENT'!F33*2/('BALANCE SHEET'!F7+'BALANCE SHEET'!E7)</f>
        <v>0.37431484836197509</v>
      </c>
      <c r="G18" s="25">
        <f>'INCOME STATEMENT'!G33*2/('BALANCE SHEET'!G7+'BALANCE SHEET'!F7)</f>
        <v>0.40977016969435626</v>
      </c>
      <c r="H18" s="25">
        <f>'INCOME STATEMENT'!H33*2/('BALANCE SHEET'!H7+'BALANCE SHEET'!G7)</f>
        <v>0.3736559780772416</v>
      </c>
      <c r="I18" s="30">
        <f>'INCOME STATEMENT'!I33*2/('BALANCE SHEET'!I7+'BALANCE SHEET'!H7)</f>
        <v>0.41312042344894939</v>
      </c>
      <c r="J18" s="38">
        <f>'INCOME STATEMENT'!J33*2/('BALANCE SHEET'!J7+'BALANCE SHEET'!I7)</f>
        <v>0.38891157874858101</v>
      </c>
      <c r="K18" s="25">
        <f>'INCOME STATEMENT'!K33*2/('BALANCE SHEET'!K7+'BALANCE SHEET'!J7)</f>
        <v>0.3689729195148031</v>
      </c>
      <c r="L18" s="25">
        <f>'INCOME STATEMENT'!L33*2/('BALANCE SHEET'!L7+'BALANCE SHEET'!K7)</f>
        <v>0.35069175788548429</v>
      </c>
      <c r="M18" s="25">
        <f>'INCOME STATEMENT'!M33*2/('BALANCE SHEET'!M7+'BALANCE SHEET'!L7)</f>
        <v>0.33362541306467658</v>
      </c>
      <c r="N18" s="30">
        <f>'INCOME STATEMENT'!N33*2/('BALANCE SHEET'!N7+'BALANCE SHEET'!M7)</f>
        <v>0.31752122956859186</v>
      </c>
      <c r="P18" t="s">
        <v>121</v>
      </c>
    </row>
    <row r="19" spans="2:16" ht="14.25" customHeight="1">
      <c r="B19" s="111" t="s">
        <v>122</v>
      </c>
      <c r="C19" s="38">
        <f>'INCOME STATEMENT'!C33/('BALANCE SHEET'!C31)</f>
        <v>8.5494419467444308E-2</v>
      </c>
      <c r="D19" s="25">
        <f>'INCOME STATEMENT'!D33*2/('BALANCE SHEET'!D31+'BALANCE SHEET'!C31)</f>
        <v>8.5383242228368614E-2</v>
      </c>
      <c r="E19" s="25">
        <f>'INCOME STATEMENT'!E33*2/('BALANCE SHEET'!E31+'BALANCE SHEET'!D31)</f>
        <v>0.13393367839497811</v>
      </c>
      <c r="F19" s="25">
        <f>'INCOME STATEMENT'!F33*2/('BALANCE SHEET'!F31+'BALANCE SHEET'!E31)</f>
        <v>0.15624729990940037</v>
      </c>
      <c r="G19" s="25">
        <f>'INCOME STATEMENT'!G33*2/('BALANCE SHEET'!G31+'BALANCE SHEET'!F31)</f>
        <v>0.2038232905194777</v>
      </c>
      <c r="H19" s="25">
        <f>'INCOME STATEMENT'!H33*2/('BALANCE SHEET'!H31+'BALANCE SHEET'!G31)</f>
        <v>0.16280378569326914</v>
      </c>
      <c r="I19" s="30">
        <f>'INCOME STATEMENT'!I33*2/('BALANCE SHEET'!I31+'BALANCE SHEET'!H31)</f>
        <v>0.16633494067766963</v>
      </c>
      <c r="J19" s="38">
        <f>'INCOME STATEMENT'!J33*2/('BALANCE SHEET'!J31+'BALANCE SHEET'!I31)</f>
        <v>0.18333752259385391</v>
      </c>
      <c r="K19" s="25">
        <f>'INCOME STATEMENT'!K33*2/('BALANCE SHEET'!K31+'BALANCE SHEET'!J31)</f>
        <v>0.19652993266183041</v>
      </c>
      <c r="L19" s="25">
        <f>'INCOME STATEMENT'!L33*2/('BALANCE SHEET'!L31+'BALANCE SHEET'!K31)</f>
        <v>0.20375074195881512</v>
      </c>
      <c r="M19" s="25">
        <f>'INCOME STATEMENT'!M33*2/('BALANCE SHEET'!M31+'BALANCE SHEET'!L31)</f>
        <v>0.20770840743089017</v>
      </c>
      <c r="N19" s="30">
        <f>'INCOME STATEMENT'!N33*2/('BALANCE SHEET'!N31+'BALANCE SHEET'!M31)</f>
        <v>0.20990508253047727</v>
      </c>
      <c r="P19" t="s">
        <v>123</v>
      </c>
    </row>
    <row r="20" spans="2:16" ht="14.25" customHeight="1">
      <c r="B20" s="114"/>
      <c r="C20" s="38"/>
      <c r="D20" s="25"/>
      <c r="E20" s="25"/>
      <c r="F20" s="25"/>
      <c r="G20" s="25"/>
      <c r="H20" s="25"/>
      <c r="I20" s="30"/>
      <c r="J20" s="77"/>
      <c r="N20" s="24"/>
    </row>
    <row r="21" spans="2:16" ht="14.25" customHeight="1">
      <c r="B21" s="115" t="s">
        <v>124</v>
      </c>
      <c r="C21" s="38"/>
      <c r="D21" s="25"/>
      <c r="E21" s="25"/>
      <c r="F21" s="25"/>
      <c r="G21" s="25"/>
      <c r="H21" s="25"/>
      <c r="I21" s="30"/>
      <c r="J21" s="77"/>
      <c r="N21" s="24"/>
    </row>
    <row r="22" spans="2:16" ht="14.25" customHeight="1">
      <c r="B22" s="113" t="s">
        <v>125</v>
      </c>
      <c r="C22" s="129">
        <f>ROUND(('BALANCE SHEET'!C24/'INCOME STATEMENT'!C4)*365,0)</f>
        <v>55</v>
      </c>
      <c r="D22" s="130">
        <f>ROUND(('BALANCE SHEET'!D24/'INCOME STATEMENT'!D4)*365,0)</f>
        <v>68</v>
      </c>
      <c r="E22" s="130">
        <f>ROUND(('BALANCE SHEET'!E24/'INCOME STATEMENT'!E4)*365,0)</f>
        <v>65</v>
      </c>
      <c r="F22" s="130">
        <f>ROUND(('BALANCE SHEET'!F24/'INCOME STATEMENT'!F4)*365,0)</f>
        <v>66</v>
      </c>
      <c r="G22" s="130">
        <f>ROUND(('BALANCE SHEET'!G24/'INCOME STATEMENT'!G4)*365,0)</f>
        <v>49</v>
      </c>
      <c r="H22" s="130">
        <f>ROUND(('BALANCE SHEET'!H24/'INCOME STATEMENT'!H4)*365,0)</f>
        <v>46</v>
      </c>
      <c r="I22" s="131">
        <f>ROUND(('BALANCE SHEET'!I24/'INCOME STATEMENT'!I4)*365,0)</f>
        <v>32</v>
      </c>
      <c r="J22" s="129">
        <f>ROUND(('BALANCE SHEET'!J24/'INCOME STATEMENT'!J4)*365,0)</f>
        <v>42</v>
      </c>
      <c r="K22" s="130">
        <f>ROUND(('BALANCE SHEET'!K24/'INCOME STATEMENT'!K4)*365,0)</f>
        <v>40</v>
      </c>
      <c r="L22" s="130">
        <f>ROUND(('BALANCE SHEET'!L24/'INCOME STATEMENT'!L4)*365,0)</f>
        <v>38</v>
      </c>
      <c r="M22" s="130">
        <f>ROUND(('BALANCE SHEET'!M24/'INCOME STATEMENT'!M4)*365,0)</f>
        <v>40</v>
      </c>
      <c r="N22" s="131">
        <f>ROUND(('BALANCE SHEET'!N24/'INCOME STATEMENT'!N4)*365,0)</f>
        <v>39</v>
      </c>
      <c r="P22" t="s">
        <v>126</v>
      </c>
    </row>
    <row r="23" spans="2:16" ht="14.25" customHeight="1">
      <c r="B23" s="132"/>
      <c r="C23" s="59"/>
      <c r="D23" s="60"/>
      <c r="E23" s="60"/>
      <c r="F23" s="60"/>
      <c r="G23" s="60"/>
      <c r="H23" s="60"/>
      <c r="I23" s="61"/>
      <c r="J23" s="21"/>
      <c r="K23" s="22"/>
      <c r="L23" s="22"/>
      <c r="M23" s="22"/>
      <c r="N23" s="23"/>
    </row>
    <row r="24" spans="2:16" ht="14.25" customHeight="1">
      <c r="B24" s="133"/>
      <c r="C24" s="25"/>
      <c r="D24" s="25"/>
      <c r="E24" s="25"/>
      <c r="F24" s="25"/>
      <c r="G24" s="25"/>
      <c r="H24" s="25"/>
      <c r="I24" s="25"/>
    </row>
    <row r="25" spans="2:16" ht="14.25" customHeight="1">
      <c r="B25" s="133"/>
      <c r="C25" s="25"/>
      <c r="D25" s="25"/>
      <c r="E25" s="25"/>
      <c r="F25" s="25"/>
      <c r="G25" s="25"/>
      <c r="H25" s="25"/>
      <c r="I25" s="25"/>
    </row>
    <row r="26" spans="2:16" ht="14.25" customHeight="1">
      <c r="B26" s="134"/>
      <c r="C26" s="25"/>
      <c r="D26" s="25"/>
      <c r="E26" s="25"/>
      <c r="F26" s="25"/>
      <c r="G26" s="25"/>
      <c r="H26" s="25"/>
      <c r="I26" s="25"/>
    </row>
    <row r="27" spans="2:16" ht="14.25" customHeight="1">
      <c r="B27" s="133"/>
      <c r="C27" s="25"/>
      <c r="D27" s="25"/>
      <c r="E27" s="25"/>
      <c r="F27" s="25"/>
      <c r="G27" s="25"/>
      <c r="H27" s="25"/>
      <c r="I27" s="25"/>
    </row>
    <row r="28" spans="2:16" ht="14.25" customHeight="1">
      <c r="B28" s="133"/>
      <c r="C28" s="25"/>
      <c r="D28" s="25"/>
      <c r="E28" s="25"/>
      <c r="F28" s="25"/>
      <c r="G28" s="25"/>
      <c r="H28" s="25"/>
      <c r="I28" s="25"/>
    </row>
    <row r="29" spans="2:16" ht="14.25" customHeight="1">
      <c r="B29" s="135"/>
      <c r="C29" s="25"/>
      <c r="D29" s="25"/>
      <c r="E29" s="25"/>
      <c r="F29" s="25"/>
      <c r="G29" s="25"/>
      <c r="H29" s="25"/>
      <c r="I29" s="25"/>
    </row>
    <row r="30" spans="2:16" ht="14.25" customHeight="1">
      <c r="C30" s="25"/>
      <c r="D30" s="25"/>
      <c r="E30" s="25"/>
      <c r="F30" s="25"/>
      <c r="G30" s="25"/>
      <c r="H30" s="25"/>
      <c r="I30" s="25"/>
    </row>
    <row r="31" spans="2:16" ht="14.25" customHeight="1">
      <c r="C31" s="25"/>
      <c r="D31" s="25"/>
      <c r="E31" s="25"/>
      <c r="F31" s="25"/>
      <c r="G31" s="25"/>
      <c r="H31" s="25"/>
      <c r="I31" s="25"/>
    </row>
  </sheetData>
  <mergeCells count="1">
    <mergeCell ref="B2:B3"/>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H20"/>
  <sheetViews>
    <sheetView showGridLines="0" zoomScaleNormal="100" workbookViewId="0">
      <selection activeCell="B33" sqref="B33"/>
    </sheetView>
  </sheetViews>
  <sheetFormatPr defaultColWidth="8.5546875" defaultRowHeight="14.4"/>
  <cols>
    <col min="2" max="2" width="37.88671875" customWidth="1"/>
    <col min="3" max="3" width="20.77734375" customWidth="1"/>
    <col min="4" max="4" width="10.44140625" customWidth="1"/>
    <col min="5" max="7" width="9.44140625" customWidth="1"/>
  </cols>
  <sheetData>
    <row r="1" spans="2:8" ht="14.25" customHeight="1">
      <c r="B1" s="10" t="s">
        <v>127</v>
      </c>
      <c r="C1" s="10"/>
      <c r="D1" s="10"/>
      <c r="E1" s="10"/>
      <c r="F1" s="10"/>
      <c r="G1" s="10"/>
      <c r="H1" s="10"/>
    </row>
    <row r="2" spans="2:8" ht="14.25" customHeight="1">
      <c r="B2" s="9" t="s">
        <v>128</v>
      </c>
      <c r="C2" s="9"/>
      <c r="D2" s="9"/>
      <c r="E2" s="9"/>
      <c r="F2" s="9"/>
      <c r="G2" s="9"/>
      <c r="H2" s="136"/>
    </row>
    <row r="4" spans="2:8" ht="14.25" customHeight="1">
      <c r="B4" s="137" t="s">
        <v>129</v>
      </c>
      <c r="C4" s="137" t="s">
        <v>130</v>
      </c>
      <c r="D4" s="137" t="s">
        <v>131</v>
      </c>
      <c r="E4" s="137" t="s">
        <v>132</v>
      </c>
      <c r="F4" s="137" t="s">
        <v>133</v>
      </c>
      <c r="G4" s="137" t="s">
        <v>134</v>
      </c>
    </row>
    <row r="5" spans="2:8" ht="14.25" customHeight="1">
      <c r="B5" s="91" t="s">
        <v>5</v>
      </c>
      <c r="C5" s="138">
        <f>'INCOME STATEMENT'!J4</f>
        <v>20740.61</v>
      </c>
      <c r="D5" s="28">
        <v>3313.86</v>
      </c>
      <c r="E5" s="138">
        <v>1133.33</v>
      </c>
      <c r="F5" s="29">
        <v>1083.6300000000001</v>
      </c>
      <c r="G5" s="138">
        <f t="shared" ref="G5:G15" si="0">MEDIAN(C5:F5)</f>
        <v>2223.5950000000003</v>
      </c>
    </row>
    <row r="6" spans="2:8" ht="14.25" customHeight="1">
      <c r="B6" s="91" t="s">
        <v>135</v>
      </c>
      <c r="C6" s="139">
        <f>'INCOME STATEMENT'!J33</f>
        <v>13423.083153449999</v>
      </c>
      <c r="D6" s="25">
        <v>1584.92</v>
      </c>
      <c r="E6" s="139">
        <v>652.30999999999995</v>
      </c>
      <c r="F6" s="30">
        <v>494.8</v>
      </c>
      <c r="G6" s="139">
        <f t="shared" si="0"/>
        <v>1118.615</v>
      </c>
    </row>
    <row r="7" spans="2:8" ht="14.25" customHeight="1">
      <c r="B7" s="91" t="s">
        <v>136</v>
      </c>
      <c r="C7" s="139">
        <f>'BALANCE SHEET'!J31</f>
        <v>76963.648394220785</v>
      </c>
      <c r="D7" s="25">
        <v>10341.65</v>
      </c>
      <c r="E7" s="139">
        <v>4325.17</v>
      </c>
      <c r="F7" s="30">
        <v>2162.14</v>
      </c>
      <c r="G7" s="139">
        <f t="shared" si="0"/>
        <v>7333.41</v>
      </c>
    </row>
    <row r="8" spans="2:8" ht="14.25" customHeight="1">
      <c r="B8" s="91" t="s">
        <v>81</v>
      </c>
      <c r="C8" s="139">
        <f>'BALANCE SHEET'!J7</f>
        <v>38675.641555139002</v>
      </c>
      <c r="D8" s="25">
        <v>4575.7</v>
      </c>
      <c r="E8" s="139">
        <v>1884.4</v>
      </c>
      <c r="F8" s="30">
        <v>1803.87</v>
      </c>
      <c r="G8" s="139">
        <f t="shared" si="0"/>
        <v>3230.05</v>
      </c>
    </row>
    <row r="9" spans="2:8" ht="14.25" customHeight="1">
      <c r="B9" s="91" t="s">
        <v>137</v>
      </c>
      <c r="C9" s="140"/>
      <c r="D9">
        <v>56.37</v>
      </c>
      <c r="E9" s="91">
        <v>62.93</v>
      </c>
      <c r="F9" s="24">
        <v>66.81</v>
      </c>
      <c r="G9" s="91">
        <f t="shared" si="0"/>
        <v>62.93</v>
      </c>
    </row>
    <row r="10" spans="2:8" ht="14.25" customHeight="1">
      <c r="B10" s="91" t="s">
        <v>138</v>
      </c>
      <c r="C10" s="140"/>
      <c r="D10">
        <v>20.04</v>
      </c>
      <c r="E10" s="141">
        <v>21.74</v>
      </c>
      <c r="F10" s="24">
        <v>18.78</v>
      </c>
      <c r="G10" s="91">
        <f t="shared" si="0"/>
        <v>20.04</v>
      </c>
    </row>
    <row r="11" spans="2:8" ht="14.25" customHeight="1">
      <c r="B11" s="91" t="s">
        <v>139</v>
      </c>
      <c r="C11" s="140"/>
      <c r="D11">
        <v>25.9</v>
      </c>
      <c r="E11" s="141">
        <v>39.74</v>
      </c>
      <c r="F11" s="24">
        <v>29.63</v>
      </c>
      <c r="G11" s="91">
        <f t="shared" si="0"/>
        <v>29.63</v>
      </c>
    </row>
    <row r="12" spans="2:8" ht="14.25" customHeight="1">
      <c r="B12" s="91" t="s">
        <v>140</v>
      </c>
      <c r="C12" s="140"/>
      <c r="D12">
        <v>38.92</v>
      </c>
      <c r="E12" s="141">
        <v>51.75</v>
      </c>
      <c r="F12" s="24">
        <v>44.23</v>
      </c>
      <c r="G12" s="91">
        <f t="shared" si="0"/>
        <v>44.23</v>
      </c>
    </row>
    <row r="13" spans="2:8" ht="14.25" customHeight="1">
      <c r="B13" s="91" t="s">
        <v>141</v>
      </c>
      <c r="C13" s="140"/>
      <c r="D13" s="32">
        <f>D6/D5</f>
        <v>0.47827005365344344</v>
      </c>
      <c r="E13" s="142">
        <f>E6/E5</f>
        <v>0.57556933990982329</v>
      </c>
      <c r="F13" s="35">
        <f>F6/F5</f>
        <v>0.45661341970967945</v>
      </c>
      <c r="G13" s="142">
        <f t="shared" si="0"/>
        <v>0.47827005365344344</v>
      </c>
    </row>
    <row r="14" spans="2:8" ht="14.25" customHeight="1">
      <c r="B14" s="91" t="s">
        <v>142</v>
      </c>
      <c r="C14" s="140"/>
      <c r="D14" s="32">
        <f>D6/D8</f>
        <v>0.34637760342679813</v>
      </c>
      <c r="E14" s="142">
        <f>E6/E8</f>
        <v>0.34616323498195706</v>
      </c>
      <c r="F14" s="35">
        <f>F6/F8</f>
        <v>0.2742991457255789</v>
      </c>
      <c r="G14" s="142">
        <f t="shared" si="0"/>
        <v>0.34616323498195706</v>
      </c>
    </row>
    <row r="15" spans="2:8" ht="14.25" customHeight="1">
      <c r="B15" s="143" t="s">
        <v>143</v>
      </c>
      <c r="C15" s="144"/>
      <c r="D15" s="145">
        <f>D6/D7</f>
        <v>0.15325600847060189</v>
      </c>
      <c r="E15" s="146">
        <f>E6/E7</f>
        <v>0.1508171933126328</v>
      </c>
      <c r="F15" s="147">
        <f>F6/F7</f>
        <v>0.2288473456852933</v>
      </c>
      <c r="G15" s="146">
        <f t="shared" si="0"/>
        <v>0.15325600847060189</v>
      </c>
    </row>
    <row r="18" spans="2:5" ht="14.25" customHeight="1">
      <c r="E18" s="127" t="s">
        <v>100</v>
      </c>
    </row>
    <row r="19" spans="2:5" ht="14.25" customHeight="1">
      <c r="B19" t="s">
        <v>144</v>
      </c>
      <c r="C19" s="25">
        <f>G12*'INCOME STATEMENT'!J15</f>
        <v>705172.46449660999</v>
      </c>
      <c r="D19" s="25"/>
      <c r="E19" t="s">
        <v>145</v>
      </c>
    </row>
    <row r="20" spans="2:5" ht="14.25" customHeight="1">
      <c r="B20" t="s">
        <v>146</v>
      </c>
      <c r="C20" s="25">
        <f>G9*C6</f>
        <v>844714.6228466084</v>
      </c>
      <c r="E20" t="s">
        <v>147</v>
      </c>
    </row>
  </sheetData>
  <mergeCells count="2">
    <mergeCell ref="B1:H1"/>
    <mergeCell ref="B2:G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F16"/>
  <sheetViews>
    <sheetView showGridLines="0" zoomScaleNormal="100" workbookViewId="0">
      <selection activeCell="C22" sqref="C22"/>
    </sheetView>
  </sheetViews>
  <sheetFormatPr defaultColWidth="8.5546875" defaultRowHeight="14.4"/>
  <cols>
    <col min="2" max="2" width="33.5546875" customWidth="1"/>
    <col min="3" max="3" width="15" customWidth="1"/>
    <col min="4" max="4" width="20.5546875" customWidth="1"/>
    <col min="6" max="6" width="63" customWidth="1"/>
  </cols>
  <sheetData>
    <row r="3" spans="2:6" ht="18" customHeight="1">
      <c r="B3" s="8" t="s">
        <v>148</v>
      </c>
      <c r="C3" s="8"/>
      <c r="D3" s="8"/>
      <c r="F3" s="127" t="s">
        <v>100</v>
      </c>
    </row>
    <row r="4" spans="2:6" ht="14.25" customHeight="1">
      <c r="B4" s="148" t="s">
        <v>149</v>
      </c>
      <c r="C4" s="149" t="s">
        <v>150</v>
      </c>
      <c r="D4" s="148" t="s">
        <v>151</v>
      </c>
    </row>
    <row r="5" spans="2:6" ht="14.25" customHeight="1">
      <c r="B5" s="150" t="s">
        <v>152</v>
      </c>
      <c r="C5" s="151" t="s">
        <v>153</v>
      </c>
      <c r="D5" s="152">
        <f>('WACC AND DCF CALCULATION'!C69+'WACC AND DCF CALCULATION'!F69)/2</f>
        <v>502229.48472825071</v>
      </c>
      <c r="F5" t="s">
        <v>154</v>
      </c>
    </row>
    <row r="6" spans="2:6" ht="14.25" customHeight="1">
      <c r="B6" s="150" t="s">
        <v>152</v>
      </c>
      <c r="C6" s="153" t="s">
        <v>155</v>
      </c>
      <c r="D6" s="154">
        <f>D5</f>
        <v>502229.48472825071</v>
      </c>
    </row>
    <row r="7" spans="2:6" ht="14.25" customHeight="1">
      <c r="B7" s="150" t="s">
        <v>156</v>
      </c>
      <c r="C7" s="153" t="s">
        <v>153</v>
      </c>
      <c r="D7" s="154">
        <f>'Comparable Company Analysis (CC'!C19</f>
        <v>705172.46449660999</v>
      </c>
    </row>
    <row r="8" spans="2:6" ht="14.25" customHeight="1">
      <c r="B8" s="150" t="s">
        <v>156</v>
      </c>
      <c r="C8" s="153" t="s">
        <v>155</v>
      </c>
      <c r="D8" s="154">
        <f>'Comparable Company Analysis (CC'!C20</f>
        <v>844714.6228466084</v>
      </c>
    </row>
    <row r="9" spans="2:6" ht="14.25" customHeight="1">
      <c r="B9" s="150" t="s">
        <v>152</v>
      </c>
      <c r="C9" s="153" t="s">
        <v>157</v>
      </c>
      <c r="D9" s="75">
        <f>D5/'INCOME STATEMENT'!J38</f>
        <v>2029.2100393060634</v>
      </c>
      <c r="F9" t="s">
        <v>158</v>
      </c>
    </row>
    <row r="10" spans="2:6" ht="14.25" customHeight="1">
      <c r="B10" s="155" t="s">
        <v>156</v>
      </c>
      <c r="C10" s="156" t="s">
        <v>157</v>
      </c>
      <c r="D10" s="157">
        <f>D8/'INCOME STATEMENT'!J38</f>
        <v>3412.9883751378115</v>
      </c>
      <c r="F10" t="s">
        <v>158</v>
      </c>
    </row>
    <row r="13" spans="2:6" ht="14.25" customHeight="1">
      <c r="B13" s="158" t="s">
        <v>159</v>
      </c>
      <c r="C13" s="159" t="s">
        <v>160</v>
      </c>
    </row>
    <row r="14" spans="2:6" ht="14.25" customHeight="1">
      <c r="B14" s="160" t="s">
        <v>161</v>
      </c>
      <c r="C14" s="161">
        <f>D9</f>
        <v>2029.2100393060634</v>
      </c>
    </row>
    <row r="15" spans="2:6" ht="14.25" customHeight="1">
      <c r="B15" s="162" t="s">
        <v>162</v>
      </c>
      <c r="C15" s="163">
        <f>D10</f>
        <v>3412.9883751378115</v>
      </c>
    </row>
    <row r="16" spans="2:6" ht="14.25" customHeight="1">
      <c r="B16" s="164" t="s">
        <v>163</v>
      </c>
      <c r="C16" s="165">
        <f>AVERAGE(C14:C15)</f>
        <v>2721.0992072219374</v>
      </c>
    </row>
  </sheetData>
  <mergeCells count="1">
    <mergeCell ref="B3:D3"/>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Q73"/>
  <sheetViews>
    <sheetView showGridLines="0" zoomScaleNormal="100" workbookViewId="0">
      <selection activeCell="J5" sqref="J5"/>
    </sheetView>
  </sheetViews>
  <sheetFormatPr defaultColWidth="8.5546875" defaultRowHeight="14.4"/>
  <cols>
    <col min="2" max="2" width="34.77734375" customWidth="1"/>
    <col min="3" max="5" width="10.44140625" customWidth="1"/>
    <col min="6" max="7" width="11.109375" customWidth="1"/>
    <col min="8" max="9" width="12.109375" customWidth="1"/>
    <col min="10" max="14" width="14.6640625" customWidth="1"/>
    <col min="16" max="16" width="61.5546875" style="24" customWidth="1"/>
    <col min="17" max="17" width="255.77734375" style="76" customWidth="1"/>
  </cols>
  <sheetData>
    <row r="2" spans="2:17" ht="14.25" customHeight="1">
      <c r="B2" s="92" t="s">
        <v>164</v>
      </c>
      <c r="C2" s="14" t="s">
        <v>1</v>
      </c>
      <c r="D2" s="15" t="s">
        <v>1</v>
      </c>
      <c r="E2" s="15" t="s">
        <v>1</v>
      </c>
      <c r="F2" s="15" t="s">
        <v>1</v>
      </c>
      <c r="G2" s="15" t="s">
        <v>1</v>
      </c>
      <c r="H2" s="15" t="s">
        <v>1</v>
      </c>
      <c r="I2" s="16" t="s">
        <v>1</v>
      </c>
      <c r="J2" s="100" t="s">
        <v>2</v>
      </c>
      <c r="K2" s="17" t="s">
        <v>2</v>
      </c>
      <c r="L2" s="17" t="s">
        <v>2</v>
      </c>
      <c r="M2" s="17" t="s">
        <v>2</v>
      </c>
      <c r="N2" s="18" t="s">
        <v>2</v>
      </c>
      <c r="P2" s="166" t="s">
        <v>3</v>
      </c>
      <c r="Q2" s="71" t="s">
        <v>4</v>
      </c>
    </row>
    <row r="3" spans="2:17" ht="14.25" customHeight="1">
      <c r="B3" s="137"/>
      <c r="C3" s="103">
        <v>2019</v>
      </c>
      <c r="D3" s="104">
        <v>2020</v>
      </c>
      <c r="E3" s="104">
        <v>2021</v>
      </c>
      <c r="F3" s="104">
        <v>2022</v>
      </c>
      <c r="G3" s="104">
        <v>2023</v>
      </c>
      <c r="H3" s="104">
        <v>2024</v>
      </c>
      <c r="I3" s="105">
        <v>2025</v>
      </c>
      <c r="J3" s="103">
        <v>2026</v>
      </c>
      <c r="K3" s="104">
        <v>2027</v>
      </c>
      <c r="L3" s="104">
        <v>2028</v>
      </c>
      <c r="M3" s="104">
        <v>2029</v>
      </c>
      <c r="N3" s="105">
        <v>2030</v>
      </c>
    </row>
    <row r="4" spans="2:17" ht="14.25" customHeight="1">
      <c r="B4" s="92" t="s">
        <v>165</v>
      </c>
      <c r="C4" s="167"/>
      <c r="D4" s="109">
        <f t="shared" ref="D4:N4" si="0">C9</f>
        <v>645.75</v>
      </c>
      <c r="E4" s="109">
        <f t="shared" si="0"/>
        <v>631.80999999999995</v>
      </c>
      <c r="F4" s="109">
        <f t="shared" si="0"/>
        <v>795.82</v>
      </c>
      <c r="G4" s="109">
        <f t="shared" si="0"/>
        <v>1144.18</v>
      </c>
      <c r="H4" s="109">
        <f t="shared" si="0"/>
        <v>1060.7</v>
      </c>
      <c r="I4" s="110">
        <f t="shared" si="0"/>
        <v>1098.6400000000001</v>
      </c>
      <c r="J4" s="108">
        <f t="shared" si="0"/>
        <v>1655.13</v>
      </c>
      <c r="K4" s="109">
        <f t="shared" si="0"/>
        <v>2078.7680235999997</v>
      </c>
      <c r="L4" s="109">
        <f t="shared" si="0"/>
        <v>2551.7225295139997</v>
      </c>
      <c r="M4" s="109">
        <f t="shared" si="0"/>
        <v>3077.2126801427398</v>
      </c>
      <c r="N4" s="110">
        <f t="shared" si="0"/>
        <v>3654.9382476497749</v>
      </c>
    </row>
    <row r="5" spans="2:17" ht="14.25" customHeight="1">
      <c r="B5" s="91" t="s">
        <v>56</v>
      </c>
      <c r="C5" s="168"/>
      <c r="D5" s="63">
        <f t="shared" ref="D5:I5" si="1">D9-D4+D7</f>
        <v>166.83999999999995</v>
      </c>
      <c r="E5" s="63">
        <f t="shared" si="1"/>
        <v>390.0200000000001</v>
      </c>
      <c r="F5" s="63">
        <f t="shared" si="1"/>
        <v>686.36</v>
      </c>
      <c r="G5" s="63">
        <f t="shared" si="1"/>
        <v>300.52</v>
      </c>
      <c r="H5" s="63">
        <f t="shared" si="1"/>
        <v>476.94000000000005</v>
      </c>
      <c r="I5" s="75">
        <f t="shared" si="1"/>
        <v>1103.08</v>
      </c>
      <c r="J5" s="112">
        <f>$P$5*'INCOME STATEMENT'!J4</f>
        <v>1161.47416</v>
      </c>
      <c r="K5" s="63">
        <f>$P$5*'INCOME STATEMENT'!K4</f>
        <v>1387.9616212000003</v>
      </c>
      <c r="L5" s="63">
        <f>$P$5*'INCOME STATEMENT'!L4</f>
        <v>1637.7947130160003</v>
      </c>
      <c r="M5" s="63">
        <f>$P$5*'INCOME STATEMENT'!M4</f>
        <v>1908.0308406636404</v>
      </c>
      <c r="N5" s="75">
        <f>$P$5*'INCOME STATEMENT'!N4</f>
        <v>2194.2354667631862</v>
      </c>
      <c r="P5" s="35">
        <v>5.6000000000000001E-2</v>
      </c>
      <c r="Q5" s="76" t="s">
        <v>166</v>
      </c>
    </row>
    <row r="6" spans="2:17" ht="14.25" customHeight="1">
      <c r="B6" s="91" t="s">
        <v>167</v>
      </c>
      <c r="C6" s="168"/>
      <c r="D6" s="32">
        <f>D5/'INCOME STATEMENT'!D4</f>
        <v>4.7560812216891429E-2</v>
      </c>
      <c r="E6" s="32">
        <f>E5/'INCOME STATEMENT'!E4</f>
        <v>6.9339107740336595E-2</v>
      </c>
      <c r="F6" s="32">
        <f>F5/'INCOME STATEMENT'!F4</f>
        <v>7.6868630305745325E-2</v>
      </c>
      <c r="G6" s="32">
        <f>G5/'INCOME STATEMENT'!G4</f>
        <v>2.534750337381916E-2</v>
      </c>
      <c r="H6" s="32">
        <f>H5/'INCOME STATEMENT'!H4</f>
        <v>3.2269282814614345E-2</v>
      </c>
      <c r="I6" s="35">
        <f>I5/'INCOME STATEMENT'!I4</f>
        <v>6.435330494136865E-2</v>
      </c>
      <c r="J6" s="34">
        <f>J5/'INCOME STATEMENT'!J4</f>
        <v>5.5999999999999994E-2</v>
      </c>
      <c r="K6" s="32">
        <f>K5/'INCOME STATEMENT'!K4</f>
        <v>5.6000000000000001E-2</v>
      </c>
      <c r="L6" s="32">
        <f>L5/'INCOME STATEMENT'!L4</f>
        <v>5.6000000000000008E-2</v>
      </c>
      <c r="M6" s="32">
        <f>M5/'INCOME STATEMENT'!M4</f>
        <v>5.6000000000000001E-2</v>
      </c>
      <c r="N6" s="35">
        <f>N5/'INCOME STATEMENT'!N4</f>
        <v>5.6000000000000001E-2</v>
      </c>
    </row>
    <row r="7" spans="2:17" s="169" customFormat="1" ht="42.75" customHeight="1">
      <c r="B7" s="91" t="s">
        <v>23</v>
      </c>
      <c r="C7" s="170"/>
      <c r="D7" s="63">
        <f>'INCOME STATEMENT'!D19</f>
        <v>180.78</v>
      </c>
      <c r="E7" s="63">
        <f>'INCOME STATEMENT'!E19</f>
        <v>226.01</v>
      </c>
      <c r="F7" s="63">
        <f>'INCOME STATEMENT'!F19</f>
        <v>338</v>
      </c>
      <c r="G7" s="63">
        <f>'INCOME STATEMENT'!G19</f>
        <v>384</v>
      </c>
      <c r="H7" s="63">
        <f>'INCOME STATEMENT'!H19</f>
        <v>439</v>
      </c>
      <c r="I7" s="75">
        <f>'INCOME STATEMENT'!I19</f>
        <v>546.59</v>
      </c>
      <c r="J7" s="112">
        <f>$P$7*(J4+0.5*J5)</f>
        <v>737.83613639999999</v>
      </c>
      <c r="K7" s="63">
        <f>$P$7*(K4+0.5*K5)</f>
        <v>915.00711528599993</v>
      </c>
      <c r="L7" s="63">
        <f>$P$7*(L4+0.5*L5)</f>
        <v>1112.3045623872599</v>
      </c>
      <c r="M7" s="63">
        <f>$P$7*(M4+0.5*M5)</f>
        <v>1330.3052731566049</v>
      </c>
      <c r="N7" s="75">
        <f>$P$7*(N4+0.5*N5)</f>
        <v>1568.1784737403516</v>
      </c>
      <c r="P7" s="171">
        <v>0.33</v>
      </c>
      <c r="Q7" s="172" t="s">
        <v>168</v>
      </c>
    </row>
    <row r="8" spans="2:17" ht="14.25" customHeight="1">
      <c r="B8" s="91" t="s">
        <v>169</v>
      </c>
      <c r="C8" s="168"/>
      <c r="D8" s="32">
        <f t="shared" ref="D8:N8" si="2">D7/(D4+0.5*D5)</f>
        <v>0.24792572376811994</v>
      </c>
      <c r="E8" s="32">
        <f t="shared" si="2"/>
        <v>0.2733484918120026</v>
      </c>
      <c r="F8" s="32">
        <f t="shared" si="2"/>
        <v>0.2967515364354697</v>
      </c>
      <c r="G8" s="32">
        <f t="shared" si="2"/>
        <v>0.29665337906739592</v>
      </c>
      <c r="H8" s="32">
        <f t="shared" si="2"/>
        <v>0.33790804898512122</v>
      </c>
      <c r="I8" s="35">
        <f t="shared" si="2"/>
        <v>0.33123053242676559</v>
      </c>
      <c r="J8" s="34">
        <f t="shared" si="2"/>
        <v>0.33</v>
      </c>
      <c r="K8" s="32">
        <f t="shared" si="2"/>
        <v>0.33</v>
      </c>
      <c r="L8" s="32">
        <f t="shared" si="2"/>
        <v>0.33</v>
      </c>
      <c r="M8" s="32">
        <f t="shared" si="2"/>
        <v>0.33</v>
      </c>
      <c r="N8" s="35">
        <f t="shared" si="2"/>
        <v>0.33</v>
      </c>
    </row>
    <row r="9" spans="2:17" ht="14.25" customHeight="1">
      <c r="B9" s="137" t="s">
        <v>170</v>
      </c>
      <c r="C9" s="173">
        <f>'BALANCE SHEET'!C20</f>
        <v>645.75</v>
      </c>
      <c r="D9" s="174">
        <f>'BALANCE SHEET'!D20</f>
        <v>631.80999999999995</v>
      </c>
      <c r="E9" s="174">
        <f>'BALANCE SHEET'!E20</f>
        <v>795.82</v>
      </c>
      <c r="F9" s="174">
        <f>'BALANCE SHEET'!F20</f>
        <v>1144.18</v>
      </c>
      <c r="G9" s="174">
        <f>'BALANCE SHEET'!G20</f>
        <v>1060.7</v>
      </c>
      <c r="H9" s="174">
        <f>'BALANCE SHEET'!H20</f>
        <v>1098.6400000000001</v>
      </c>
      <c r="I9" s="175">
        <f>'BALANCE SHEET'!I20</f>
        <v>1655.13</v>
      </c>
      <c r="J9" s="173">
        <f>J4+J5-J7</f>
        <v>2078.7680235999997</v>
      </c>
      <c r="K9" s="174">
        <f>K4+K5-K7</f>
        <v>2551.7225295139997</v>
      </c>
      <c r="L9" s="174">
        <f>L4+L5-L7</f>
        <v>3077.2126801427398</v>
      </c>
      <c r="M9" s="174">
        <f>M4+M5-M7</f>
        <v>3654.9382476497749</v>
      </c>
      <c r="N9" s="175">
        <f>N4+N5-N7</f>
        <v>4280.9952406726097</v>
      </c>
    </row>
    <row r="12" spans="2:17" ht="14.25" customHeight="1">
      <c r="B12" s="92" t="s">
        <v>171</v>
      </c>
      <c r="C12" s="14" t="s">
        <v>1</v>
      </c>
      <c r="D12" s="15" t="s">
        <v>1</v>
      </c>
      <c r="E12" s="15" t="s">
        <v>1</v>
      </c>
      <c r="F12" s="15" t="s">
        <v>1</v>
      </c>
      <c r="G12" s="15" t="s">
        <v>1</v>
      </c>
      <c r="H12" s="15" t="s">
        <v>1</v>
      </c>
      <c r="I12" s="16" t="s">
        <v>1</v>
      </c>
      <c r="J12" s="100" t="s">
        <v>2</v>
      </c>
      <c r="K12" s="17" t="s">
        <v>2</v>
      </c>
      <c r="L12" s="17" t="s">
        <v>2</v>
      </c>
      <c r="M12" s="17" t="s">
        <v>2</v>
      </c>
      <c r="N12" s="18" t="s">
        <v>2</v>
      </c>
    </row>
    <row r="13" spans="2:17" ht="14.25" customHeight="1">
      <c r="B13" s="137"/>
      <c r="C13" s="103">
        <v>2019</v>
      </c>
      <c r="D13" s="104">
        <v>2020</v>
      </c>
      <c r="E13" s="104">
        <v>2021</v>
      </c>
      <c r="F13" s="104">
        <v>2022</v>
      </c>
      <c r="G13" s="104">
        <v>2023</v>
      </c>
      <c r="H13" s="104">
        <v>2024</v>
      </c>
      <c r="I13" s="105">
        <v>2025</v>
      </c>
      <c r="J13" s="103">
        <v>2026</v>
      </c>
      <c r="K13" s="104">
        <v>2027</v>
      </c>
      <c r="L13" s="104">
        <v>2028</v>
      </c>
      <c r="M13" s="104">
        <v>2029</v>
      </c>
      <c r="N13" s="105">
        <v>2030</v>
      </c>
    </row>
    <row r="14" spans="2:17" ht="14.25" customHeight="1">
      <c r="B14" s="92" t="s">
        <v>172</v>
      </c>
      <c r="C14" s="176"/>
      <c r="D14" s="109">
        <f t="shared" ref="D14:N14" si="3">C17</f>
        <v>7738.76</v>
      </c>
      <c r="E14" s="109">
        <f t="shared" si="3"/>
        <v>8572.49</v>
      </c>
      <c r="F14" s="109">
        <f t="shared" si="3"/>
        <v>11586.45</v>
      </c>
      <c r="G14" s="109">
        <f t="shared" si="3"/>
        <v>15368.779999999999</v>
      </c>
      <c r="H14" s="109">
        <f t="shared" si="3"/>
        <v>20430.879999999997</v>
      </c>
      <c r="I14" s="110">
        <f t="shared" si="3"/>
        <v>23924.379999999997</v>
      </c>
      <c r="J14" s="108">
        <f t="shared" si="3"/>
        <v>30105.83</v>
      </c>
      <c r="K14" s="109">
        <f t="shared" si="3"/>
        <v>38428.141555139002</v>
      </c>
      <c r="L14" s="109">
        <f t="shared" si="3"/>
        <v>48418.408204121799</v>
      </c>
      <c r="M14" s="109">
        <f t="shared" si="3"/>
        <v>60290.444428924398</v>
      </c>
      <c r="N14" s="110">
        <f t="shared" si="3"/>
        <v>74257.064392883854</v>
      </c>
    </row>
    <row r="15" spans="2:17" ht="14.25" customHeight="1">
      <c r="B15" s="91" t="s">
        <v>173</v>
      </c>
      <c r="C15" s="177"/>
      <c r="D15" s="63">
        <f>'INCOME STATEMENT'!D33</f>
        <v>1884.78</v>
      </c>
      <c r="E15" s="63">
        <f>'INCOME STATEMENT'!E33</f>
        <v>3574.42</v>
      </c>
      <c r="F15" s="63">
        <f>'INCOME STATEMENT'!F33</f>
        <v>5063.3999999999996</v>
      </c>
      <c r="G15" s="63">
        <f>'INCOME STATEMENT'!G33</f>
        <v>7355.1</v>
      </c>
      <c r="H15" s="63">
        <f>'INCOME STATEMENT'!H33</f>
        <v>8305.2999999999993</v>
      </c>
      <c r="I15" s="75">
        <f>'INCOME STATEMENT'!I33</f>
        <v>11221.84</v>
      </c>
      <c r="J15" s="112">
        <f>'INCOME STATEMENT'!J33</f>
        <v>13423.083153449999</v>
      </c>
      <c r="K15" s="63">
        <f>'INCOME STATEMENT'!K33</f>
        <v>16113.333304810953</v>
      </c>
      <c r="L15" s="63">
        <f>'INCOME STATEMENT'!L33</f>
        <v>19148.445523875169</v>
      </c>
      <c r="M15" s="63">
        <f>'INCOME STATEMENT'!M33</f>
        <v>22526.806393483006</v>
      </c>
      <c r="N15" s="75">
        <f>'INCOME STATEMENT'!N33</f>
        <v>26239.584706286718</v>
      </c>
    </row>
    <row r="16" spans="2:17" ht="14.25" customHeight="1">
      <c r="B16" s="91" t="s">
        <v>174</v>
      </c>
      <c r="C16" s="177"/>
      <c r="D16" s="63">
        <f>'CASH FLOW'!E25</f>
        <v>1051.0500000000004</v>
      </c>
      <c r="E16" s="63">
        <f>'CASH FLOW'!F25</f>
        <v>560.45999999999913</v>
      </c>
      <c r="F16" s="63">
        <f>'CASH FLOW'!G25</f>
        <v>1281.0699999999997</v>
      </c>
      <c r="G16" s="63">
        <f>'CASH FLOW'!H25</f>
        <v>2293</v>
      </c>
      <c r="H16" s="63">
        <f>'CASH FLOW'!I25</f>
        <v>4811.7999999999993</v>
      </c>
      <c r="I16" s="75">
        <f>'CASH FLOW'!J25</f>
        <v>5040.3899999999994</v>
      </c>
      <c r="J16" s="112">
        <f>'CASH FLOW'!K25</f>
        <v>5100.7715983110002</v>
      </c>
      <c r="K16" s="63">
        <f>'CASH FLOW'!L25</f>
        <v>6123.0666558281619</v>
      </c>
      <c r="L16" s="63">
        <f>'CASH FLOW'!M25</f>
        <v>7276.409299072564</v>
      </c>
      <c r="M16" s="63">
        <f>'CASH FLOW'!N25</f>
        <v>8560.1864295235428</v>
      </c>
      <c r="N16" s="75">
        <f>'CASH FLOW'!O25</f>
        <v>9971.0421883889521</v>
      </c>
    </row>
    <row r="17" spans="2:17" ht="14.25" customHeight="1">
      <c r="B17" s="137" t="s">
        <v>175</v>
      </c>
      <c r="C17" s="173">
        <f>'BALANCE SHEET'!C6</f>
        <v>7738.76</v>
      </c>
      <c r="D17" s="174">
        <f t="shared" ref="D17:N17" si="4">D14+D15-D16</f>
        <v>8572.49</v>
      </c>
      <c r="E17" s="174">
        <f t="shared" si="4"/>
        <v>11586.45</v>
      </c>
      <c r="F17" s="174">
        <f t="shared" si="4"/>
        <v>15368.779999999999</v>
      </c>
      <c r="G17" s="174">
        <f t="shared" si="4"/>
        <v>20430.879999999997</v>
      </c>
      <c r="H17" s="174">
        <f t="shared" si="4"/>
        <v>23924.379999999997</v>
      </c>
      <c r="I17" s="175">
        <f t="shared" si="4"/>
        <v>30105.83</v>
      </c>
      <c r="J17" s="173">
        <f t="shared" si="4"/>
        <v>38428.141555139002</v>
      </c>
      <c r="K17" s="174">
        <f t="shared" si="4"/>
        <v>48418.408204121799</v>
      </c>
      <c r="L17" s="174">
        <f t="shared" si="4"/>
        <v>60290.444428924398</v>
      </c>
      <c r="M17" s="174">
        <f t="shared" si="4"/>
        <v>74257.064392883854</v>
      </c>
      <c r="N17" s="175">
        <f t="shared" si="4"/>
        <v>90525.606910781629</v>
      </c>
    </row>
    <row r="18" spans="2:17" ht="14.25" customHeight="1">
      <c r="B18" s="178" t="s">
        <v>176</v>
      </c>
      <c r="C18" s="179">
        <f>C17-'BALANCE SHEET'!C6</f>
        <v>0</v>
      </c>
      <c r="D18" s="180">
        <f>D17-'BALANCE SHEET'!D6</f>
        <v>0</v>
      </c>
      <c r="E18" s="180">
        <f>E17-'BALANCE SHEET'!E6</f>
        <v>0</v>
      </c>
      <c r="F18" s="180">
        <f>F17-'BALANCE SHEET'!F6</f>
        <v>0</v>
      </c>
      <c r="G18" s="180">
        <f>G17-'BALANCE SHEET'!G6</f>
        <v>0</v>
      </c>
      <c r="H18" s="180">
        <f>H17-'BALANCE SHEET'!H6</f>
        <v>0</v>
      </c>
      <c r="I18" s="181">
        <f>I17-'BALANCE SHEET'!I6</f>
        <v>0</v>
      </c>
      <c r="J18" s="179">
        <f>J17-'BALANCE SHEET'!J6</f>
        <v>0</v>
      </c>
      <c r="K18" s="180">
        <f>K17-'BALANCE SHEET'!K6</f>
        <v>0</v>
      </c>
      <c r="L18" s="180">
        <f>L17-'BALANCE SHEET'!L6</f>
        <v>0</v>
      </c>
      <c r="M18" s="180">
        <f>M17-'BALANCE SHEET'!M6</f>
        <v>0</v>
      </c>
      <c r="N18" s="181">
        <f>N17-'BALANCE SHEET'!N6</f>
        <v>0</v>
      </c>
    </row>
    <row r="19" spans="2:17" ht="14.25" customHeight="1">
      <c r="B19" s="134"/>
      <c r="C19" s="54"/>
      <c r="D19" s="54"/>
      <c r="E19" s="54"/>
      <c r="F19" s="54"/>
      <c r="G19" s="54"/>
      <c r="H19" s="54"/>
      <c r="I19" s="54"/>
      <c r="J19" s="54"/>
      <c r="K19" s="54"/>
      <c r="L19" s="54"/>
      <c r="M19" s="54"/>
      <c r="N19" s="54"/>
    </row>
    <row r="21" spans="2:17" ht="14.25" customHeight="1">
      <c r="B21" s="92" t="s">
        <v>177</v>
      </c>
      <c r="C21" s="14" t="s">
        <v>1</v>
      </c>
      <c r="D21" s="15" t="s">
        <v>1</v>
      </c>
      <c r="E21" s="15" t="s">
        <v>1</v>
      </c>
      <c r="F21" s="15" t="s">
        <v>1</v>
      </c>
      <c r="G21" s="15" t="s">
        <v>1</v>
      </c>
      <c r="H21" s="15" t="s">
        <v>1</v>
      </c>
      <c r="I21" s="16" t="s">
        <v>1</v>
      </c>
      <c r="J21" s="100" t="s">
        <v>2</v>
      </c>
      <c r="K21" s="17" t="s">
        <v>2</v>
      </c>
      <c r="L21" s="17" t="s">
        <v>2</v>
      </c>
      <c r="M21" s="17" t="s">
        <v>2</v>
      </c>
      <c r="N21" s="18" t="s">
        <v>2</v>
      </c>
    </row>
    <row r="22" spans="2:17" ht="14.25" customHeight="1">
      <c r="B22" s="137"/>
      <c r="C22" s="103">
        <v>2019</v>
      </c>
      <c r="D22" s="104">
        <v>2020</v>
      </c>
      <c r="E22" s="104">
        <v>2021</v>
      </c>
      <c r="F22" s="104">
        <v>2022</v>
      </c>
      <c r="G22" s="104">
        <v>2023</v>
      </c>
      <c r="H22" s="104">
        <v>2024</v>
      </c>
      <c r="I22" s="105">
        <v>2025</v>
      </c>
      <c r="J22" s="103">
        <v>2026</v>
      </c>
      <c r="K22" s="104">
        <v>2027</v>
      </c>
      <c r="L22" s="104">
        <v>2028</v>
      </c>
      <c r="M22" s="104">
        <v>2029</v>
      </c>
      <c r="N22" s="105">
        <v>2030</v>
      </c>
    </row>
    <row r="23" spans="2:17" ht="14.25" customHeight="1">
      <c r="B23" s="92" t="s">
        <v>38</v>
      </c>
      <c r="C23" s="176"/>
      <c r="D23" s="109">
        <f>'INCOME STATEMENT'!D33</f>
        <v>1884.78</v>
      </c>
      <c r="E23" s="109">
        <f>'INCOME STATEMENT'!E33</f>
        <v>3574.42</v>
      </c>
      <c r="F23" s="109">
        <f>'INCOME STATEMENT'!F33</f>
        <v>5063.3999999999996</v>
      </c>
      <c r="G23" s="109">
        <f>'INCOME STATEMENT'!G33</f>
        <v>7355.1</v>
      </c>
      <c r="H23" s="109">
        <f>'INCOME STATEMENT'!H33</f>
        <v>8305.2999999999993</v>
      </c>
      <c r="I23" s="110">
        <f>'INCOME STATEMENT'!I33</f>
        <v>11221.84</v>
      </c>
      <c r="J23" s="108">
        <f>'INCOME STATEMENT'!J33</f>
        <v>13423.083153449999</v>
      </c>
      <c r="K23" s="109">
        <f>'INCOME STATEMENT'!K33</f>
        <v>16113.333304810953</v>
      </c>
      <c r="L23" s="109">
        <f>'INCOME STATEMENT'!L33</f>
        <v>19148.445523875169</v>
      </c>
      <c r="M23" s="109">
        <f>'INCOME STATEMENT'!M33</f>
        <v>22526.806393483006</v>
      </c>
      <c r="N23" s="110">
        <f>'INCOME STATEMENT'!N33</f>
        <v>26239.584706286718</v>
      </c>
    </row>
    <row r="24" spans="2:17" ht="14.25" customHeight="1">
      <c r="B24" s="91" t="s">
        <v>178</v>
      </c>
      <c r="C24" s="177"/>
      <c r="D24" s="63">
        <f>'CASH FLOW'!E25</f>
        <v>1051.0500000000004</v>
      </c>
      <c r="E24" s="63">
        <f>'CASH FLOW'!F25</f>
        <v>560.45999999999913</v>
      </c>
      <c r="F24" s="63">
        <f>'CASH FLOW'!G25</f>
        <v>1281.0699999999997</v>
      </c>
      <c r="G24" s="63">
        <f>'CASH FLOW'!H25</f>
        <v>2293</v>
      </c>
      <c r="H24" s="63">
        <f>'CASH FLOW'!I25</f>
        <v>4811.7999999999993</v>
      </c>
      <c r="I24" s="75">
        <f>'CASH FLOW'!J25</f>
        <v>5040.3899999999994</v>
      </c>
      <c r="J24" s="112">
        <f>J25*J23</f>
        <v>5100.7715983110002</v>
      </c>
      <c r="K24" s="63">
        <f>K25*K23</f>
        <v>6123.0666558281619</v>
      </c>
      <c r="L24" s="63">
        <f>L25*L23</f>
        <v>7276.409299072564</v>
      </c>
      <c r="M24" s="63">
        <f>M25*M23</f>
        <v>8560.1864295235428</v>
      </c>
      <c r="N24" s="75">
        <f>N25*N23</f>
        <v>9971.0421883889521</v>
      </c>
      <c r="P24" s="24" t="s">
        <v>179</v>
      </c>
    </row>
    <row r="25" spans="2:17" ht="28.5" customHeight="1">
      <c r="B25" s="143" t="s">
        <v>180</v>
      </c>
      <c r="C25" s="182"/>
      <c r="D25" s="183">
        <f t="shared" ref="D25:I25" si="5">D24/D23</f>
        <v>0.55765129086683884</v>
      </c>
      <c r="E25" s="183">
        <f t="shared" si="5"/>
        <v>0.15679746644210785</v>
      </c>
      <c r="F25" s="183">
        <f t="shared" si="5"/>
        <v>0.25300588537346441</v>
      </c>
      <c r="G25" s="183">
        <f t="shared" si="5"/>
        <v>0.31175646830090686</v>
      </c>
      <c r="H25" s="183">
        <f t="shared" si="5"/>
        <v>0.5793649838055217</v>
      </c>
      <c r="I25" s="184">
        <f t="shared" si="5"/>
        <v>0.44915896145373657</v>
      </c>
      <c r="J25" s="185">
        <f>$P$25</f>
        <v>0.38</v>
      </c>
      <c r="K25" s="183">
        <f>$P$25</f>
        <v>0.38</v>
      </c>
      <c r="L25" s="183">
        <f>$P$25</f>
        <v>0.38</v>
      </c>
      <c r="M25" s="183">
        <f>$P$25</f>
        <v>0.38</v>
      </c>
      <c r="N25" s="184">
        <f>$P$25</f>
        <v>0.38</v>
      </c>
      <c r="P25" s="53">
        <v>0.38</v>
      </c>
      <c r="Q25" s="172" t="s">
        <v>181</v>
      </c>
    </row>
    <row r="27" spans="2:17" ht="14.25" customHeight="1">
      <c r="B27" s="92" t="s">
        <v>182</v>
      </c>
      <c r="C27" s="14" t="s">
        <v>1</v>
      </c>
      <c r="D27" s="15" t="s">
        <v>1</v>
      </c>
      <c r="E27" s="15" t="s">
        <v>1</v>
      </c>
      <c r="F27" s="15" t="s">
        <v>1</v>
      </c>
      <c r="G27" s="15" t="s">
        <v>1</v>
      </c>
      <c r="H27" s="15" t="s">
        <v>1</v>
      </c>
      <c r="I27" s="16" t="s">
        <v>1</v>
      </c>
      <c r="J27" s="100" t="s">
        <v>2</v>
      </c>
      <c r="K27" s="17" t="s">
        <v>2</v>
      </c>
      <c r="L27" s="17" t="s">
        <v>2</v>
      </c>
      <c r="M27" s="17" t="s">
        <v>2</v>
      </c>
      <c r="N27" s="18" t="s">
        <v>2</v>
      </c>
    </row>
    <row r="28" spans="2:17" ht="14.25" customHeight="1">
      <c r="B28" s="137"/>
      <c r="C28" s="103">
        <v>2019</v>
      </c>
      <c r="D28" s="104">
        <v>2020</v>
      </c>
      <c r="E28" s="104">
        <v>2021</v>
      </c>
      <c r="F28" s="104">
        <v>2022</v>
      </c>
      <c r="G28" s="104">
        <v>2023</v>
      </c>
      <c r="H28" s="104">
        <v>2024</v>
      </c>
      <c r="I28" s="105">
        <v>2025</v>
      </c>
      <c r="J28" s="103">
        <v>2026</v>
      </c>
      <c r="K28" s="104">
        <v>2027</v>
      </c>
      <c r="L28" s="104">
        <v>2028</v>
      </c>
      <c r="M28" s="104">
        <v>2029</v>
      </c>
      <c r="N28" s="105">
        <v>2030</v>
      </c>
    </row>
    <row r="29" spans="2:17" ht="14.25" customHeight="1">
      <c r="B29" s="92" t="s">
        <v>82</v>
      </c>
      <c r="C29" s="108">
        <f>'BALANCE SHEET'!C9</f>
        <v>189.55</v>
      </c>
      <c r="D29" s="109">
        <f>'BALANCE SHEET'!D9</f>
        <v>263.08999999999997</v>
      </c>
      <c r="E29" s="109">
        <f>'BALANCE SHEET'!E9</f>
        <v>242.82</v>
      </c>
      <c r="F29" s="109">
        <f>'BALANCE SHEET'!F9</f>
        <v>469.61</v>
      </c>
      <c r="G29" s="109">
        <f>'BALANCE SHEET'!G9</f>
        <v>414.47</v>
      </c>
      <c r="H29" s="109">
        <f>'BALANCE SHEET'!H9</f>
        <v>552.36</v>
      </c>
      <c r="I29" s="110">
        <f>'BALANCE SHEET'!I9</f>
        <v>847.03</v>
      </c>
      <c r="J29" s="108">
        <f>I29*(1+I30)</f>
        <v>1031.0647617377656</v>
      </c>
      <c r="K29" s="109">
        <f>J29*(1+J30)</f>
        <v>1397.0658993301645</v>
      </c>
      <c r="L29" s="109">
        <f>K29*(1+K30)</f>
        <v>1903.4805752781504</v>
      </c>
      <c r="M29" s="109">
        <f>L29*(1+L30)</f>
        <v>2493.2452571169911</v>
      </c>
      <c r="N29" s="110">
        <f>M29*(1+M30)</f>
        <v>3346.5040423605005</v>
      </c>
      <c r="P29" s="24" t="s">
        <v>183</v>
      </c>
    </row>
    <row r="30" spans="2:17" ht="28.5" customHeight="1">
      <c r="B30" s="143" t="s">
        <v>184</v>
      </c>
      <c r="C30" s="186"/>
      <c r="D30" s="187"/>
      <c r="E30" s="187"/>
      <c r="F30" s="145">
        <f t="shared" ref="F30:N30" si="6">((F29/C29)^(1/3) -1)</f>
        <v>0.35312478549252524</v>
      </c>
      <c r="G30" s="145">
        <f t="shared" si="6"/>
        <v>0.16358001484523488</v>
      </c>
      <c r="H30" s="145">
        <f t="shared" si="6"/>
        <v>0.31516201035748392</v>
      </c>
      <c r="I30" s="147">
        <f t="shared" si="6"/>
        <v>0.2172706536223814</v>
      </c>
      <c r="J30" s="188">
        <f t="shared" si="6"/>
        <v>0.35497395621933325</v>
      </c>
      <c r="K30" s="145">
        <f t="shared" si="6"/>
        <v>0.36248445845739341</v>
      </c>
      <c r="L30" s="145">
        <f t="shared" si="6"/>
        <v>0.3098348832651785</v>
      </c>
      <c r="M30" s="145">
        <f t="shared" si="6"/>
        <v>0.34222817944118189</v>
      </c>
      <c r="N30" s="147">
        <f t="shared" si="6"/>
        <v>0.33800628646558994</v>
      </c>
      <c r="P30" s="24" t="s">
        <v>185</v>
      </c>
      <c r="Q30" s="172" t="s">
        <v>186</v>
      </c>
    </row>
    <row r="32" spans="2:17" ht="14.25" customHeight="1">
      <c r="B32" s="92" t="s">
        <v>187</v>
      </c>
      <c r="C32" s="14" t="s">
        <v>1</v>
      </c>
      <c r="D32" s="15" t="s">
        <v>1</v>
      </c>
      <c r="E32" s="15" t="s">
        <v>1</v>
      </c>
      <c r="F32" s="15" t="s">
        <v>1</v>
      </c>
      <c r="G32" s="15" t="s">
        <v>1</v>
      </c>
      <c r="H32" s="15" t="s">
        <v>1</v>
      </c>
      <c r="I32" s="16" t="s">
        <v>1</v>
      </c>
      <c r="J32" s="100" t="s">
        <v>2</v>
      </c>
      <c r="K32" s="17" t="s">
        <v>2</v>
      </c>
      <c r="L32" s="17" t="s">
        <v>2</v>
      </c>
      <c r="M32" s="17" t="s">
        <v>2</v>
      </c>
      <c r="N32" s="18" t="s">
        <v>2</v>
      </c>
    </row>
    <row r="33" spans="2:17" ht="14.25" customHeight="1">
      <c r="B33" s="137"/>
      <c r="C33" s="103">
        <v>2019</v>
      </c>
      <c r="D33" s="104">
        <v>2020</v>
      </c>
      <c r="E33" s="104">
        <v>2021</v>
      </c>
      <c r="F33" s="104">
        <v>2022</v>
      </c>
      <c r="G33" s="104">
        <v>2023</v>
      </c>
      <c r="H33" s="104">
        <v>2024</v>
      </c>
      <c r="I33" s="105">
        <v>2025</v>
      </c>
      <c r="J33" s="103">
        <v>2026</v>
      </c>
      <c r="K33" s="104">
        <v>2027</v>
      </c>
      <c r="L33" s="104">
        <v>2028</v>
      </c>
      <c r="M33" s="104">
        <v>2029</v>
      </c>
      <c r="N33" s="105">
        <v>2030</v>
      </c>
    </row>
    <row r="34" spans="2:17" ht="14.25" customHeight="1">
      <c r="B34" s="91" t="s">
        <v>86</v>
      </c>
      <c r="C34" s="108">
        <f>'BALANCE SHEET'!C14</f>
        <v>9132.4399999999987</v>
      </c>
      <c r="D34" s="109">
        <f>'BALANCE SHEET'!D14</f>
        <v>12121.57</v>
      </c>
      <c r="E34" s="109">
        <f>'BALANCE SHEET'!E14</f>
        <v>13776.76</v>
      </c>
      <c r="F34" s="109">
        <f>'BALANCE SHEET'!F14</f>
        <v>15933.49</v>
      </c>
      <c r="G34" s="109">
        <f>'BALANCE SHEET'!G14</f>
        <v>10800.16</v>
      </c>
      <c r="H34" s="109">
        <f>'BALANCE SHEET'!H14</f>
        <v>32579.670000000002</v>
      </c>
      <c r="I34" s="110">
        <f>'BALANCE SHEET'!I14</f>
        <v>27037.8</v>
      </c>
      <c r="J34" s="108">
        <f>'BALANCE SHEET'!J14</f>
        <v>27287.850534451056</v>
      </c>
      <c r="K34" s="109">
        <f>'BALANCE SHEET'!K14</f>
        <v>27902.059750781526</v>
      </c>
      <c r="L34" s="109">
        <f>'BALANCE SHEET'!L14</f>
        <v>28697.059122845949</v>
      </c>
      <c r="M34" s="109">
        <f>'BALANCE SHEET'!M14</f>
        <v>29715.416468219446</v>
      </c>
      <c r="N34" s="110">
        <f>'BALANCE SHEET'!N14</f>
        <v>31077.875528956385</v>
      </c>
    </row>
    <row r="35" spans="2:17" ht="14.25" customHeight="1">
      <c r="B35" s="91" t="s">
        <v>188</v>
      </c>
      <c r="C35" s="112">
        <f>'BALANCE SHEET'!C12</f>
        <v>8942.89</v>
      </c>
      <c r="D35" s="63">
        <f>'BALANCE SHEET'!D12</f>
        <v>11858.48</v>
      </c>
      <c r="E35" s="63">
        <f>'BALANCE SHEET'!E12</f>
        <v>13533.94</v>
      </c>
      <c r="F35" s="63">
        <f>'BALANCE SHEET'!F12</f>
        <v>15463.88</v>
      </c>
      <c r="G35" s="63">
        <f>'BALANCE SHEET'!G12</f>
        <v>10385.69</v>
      </c>
      <c r="H35" s="63">
        <f>'BALANCE SHEET'!H12</f>
        <v>32027.31</v>
      </c>
      <c r="I35" s="75">
        <f>'BALANCE SHEET'!I12</f>
        <v>26190.77</v>
      </c>
      <c r="J35" s="112">
        <f>I37*I34</f>
        <v>26256.78577271329</v>
      </c>
      <c r="K35" s="63">
        <f>J37*J34</f>
        <v>26504.99385145136</v>
      </c>
      <c r="L35" s="63">
        <f>K37*K34</f>
        <v>26793.578547567799</v>
      </c>
      <c r="M35" s="63">
        <f>L37*L34</f>
        <v>27222.171211102454</v>
      </c>
      <c r="N35" s="75">
        <f>M37*M34</f>
        <v>27731.371486595886</v>
      </c>
      <c r="P35" s="24" t="s">
        <v>189</v>
      </c>
      <c r="Q35" s="172"/>
    </row>
    <row r="36" spans="2:17" ht="14.25" customHeight="1">
      <c r="B36" s="91" t="s">
        <v>190</v>
      </c>
      <c r="C36" s="34">
        <f t="shared" ref="C36:N36" si="7">C35/C34</f>
        <v>0.97924432024738195</v>
      </c>
      <c r="D36" s="32">
        <f t="shared" si="7"/>
        <v>0.97829571581899044</v>
      </c>
      <c r="E36" s="32">
        <f t="shared" si="7"/>
        <v>0.98237466574143706</v>
      </c>
      <c r="F36" s="32">
        <f t="shared" si="7"/>
        <v>0.97052685883632517</v>
      </c>
      <c r="G36" s="32">
        <f t="shared" si="7"/>
        <v>0.96162371668567881</v>
      </c>
      <c r="H36" s="32">
        <f t="shared" si="7"/>
        <v>0.98304586878872624</v>
      </c>
      <c r="I36" s="35">
        <f t="shared" si="7"/>
        <v>0.96867237719045196</v>
      </c>
      <c r="J36" s="34">
        <f t="shared" si="7"/>
        <v>0.96221524445701423</v>
      </c>
      <c r="K36" s="32">
        <f t="shared" si="7"/>
        <v>0.9499296499323483</v>
      </c>
      <c r="L36" s="32">
        <f t="shared" si="7"/>
        <v>0.93366983818342641</v>
      </c>
      <c r="M36" s="32">
        <f t="shared" si="7"/>
        <v>0.91609590059814539</v>
      </c>
      <c r="N36" s="35">
        <f t="shared" si="7"/>
        <v>0.89231876422046807</v>
      </c>
    </row>
    <row r="37" spans="2:17" ht="28.5" customHeight="1">
      <c r="B37" s="143" t="s">
        <v>191</v>
      </c>
      <c r="C37" s="186"/>
      <c r="D37" s="187"/>
      <c r="E37" s="145">
        <f t="shared" ref="E37:N37" si="8">SUM(C36:E36)/3</f>
        <v>0.97997156726926982</v>
      </c>
      <c r="F37" s="145">
        <f t="shared" si="8"/>
        <v>0.97706574679891756</v>
      </c>
      <c r="G37" s="145">
        <f t="shared" si="8"/>
        <v>0.97150841375448038</v>
      </c>
      <c r="H37" s="145">
        <f t="shared" si="8"/>
        <v>0.97173214810357678</v>
      </c>
      <c r="I37" s="147">
        <f t="shared" si="8"/>
        <v>0.97111398755495237</v>
      </c>
      <c r="J37" s="188">
        <f t="shared" si="8"/>
        <v>0.9713111634787307</v>
      </c>
      <c r="K37" s="145">
        <f t="shared" si="8"/>
        <v>0.96027242385993816</v>
      </c>
      <c r="L37" s="145">
        <f t="shared" si="8"/>
        <v>0.94860491085759635</v>
      </c>
      <c r="M37" s="145">
        <f t="shared" si="8"/>
        <v>0.93323179623797337</v>
      </c>
      <c r="N37" s="147">
        <f t="shared" si="8"/>
        <v>0.91402816766734662</v>
      </c>
      <c r="P37" s="24" t="s">
        <v>192</v>
      </c>
      <c r="Q37" s="172" t="s">
        <v>193</v>
      </c>
    </row>
    <row r="39" spans="2:17" ht="14.25" customHeight="1">
      <c r="B39" s="92" t="s">
        <v>194</v>
      </c>
      <c r="C39" s="14" t="s">
        <v>1</v>
      </c>
      <c r="D39" s="15" t="s">
        <v>1</v>
      </c>
      <c r="E39" s="15" t="s">
        <v>1</v>
      </c>
      <c r="F39" s="15" t="s">
        <v>1</v>
      </c>
      <c r="G39" s="15" t="s">
        <v>1</v>
      </c>
      <c r="H39" s="15" t="s">
        <v>1</v>
      </c>
      <c r="I39" s="16" t="s">
        <v>1</v>
      </c>
      <c r="J39" s="100" t="s">
        <v>2</v>
      </c>
      <c r="K39" s="17" t="s">
        <v>2</v>
      </c>
      <c r="L39" s="17" t="s">
        <v>2</v>
      </c>
      <c r="M39" s="17" t="s">
        <v>2</v>
      </c>
      <c r="N39" s="18" t="s">
        <v>2</v>
      </c>
    </row>
    <row r="40" spans="2:17" ht="14.25" customHeight="1">
      <c r="B40" s="137"/>
      <c r="C40" s="103">
        <v>2019</v>
      </c>
      <c r="D40" s="73">
        <v>2020</v>
      </c>
      <c r="E40" s="73">
        <v>2021</v>
      </c>
      <c r="F40" s="73">
        <v>2022</v>
      </c>
      <c r="G40" s="73">
        <v>2023</v>
      </c>
      <c r="H40" s="73">
        <v>2024</v>
      </c>
      <c r="I40" s="105">
        <v>2025</v>
      </c>
      <c r="J40" s="103">
        <v>2026</v>
      </c>
      <c r="K40" s="73">
        <v>2027</v>
      </c>
      <c r="L40" s="73">
        <v>2028</v>
      </c>
      <c r="M40" s="73">
        <v>2029</v>
      </c>
      <c r="N40" s="105">
        <v>2030</v>
      </c>
    </row>
    <row r="41" spans="2:17" ht="14.25" customHeight="1">
      <c r="B41" s="91" t="s">
        <v>86</v>
      </c>
      <c r="C41" s="112">
        <f>'BALANCE SHEET'!C14</f>
        <v>9132.4399999999987</v>
      </c>
      <c r="D41" s="109">
        <f>'BALANCE SHEET'!D14</f>
        <v>12121.57</v>
      </c>
      <c r="E41" s="109">
        <f>'BALANCE SHEET'!E14</f>
        <v>13776.76</v>
      </c>
      <c r="F41" s="109">
        <f>'BALANCE SHEET'!F14</f>
        <v>15933.49</v>
      </c>
      <c r="G41" s="109">
        <f>'BALANCE SHEET'!G14</f>
        <v>10800.16</v>
      </c>
      <c r="H41" s="109">
        <f>'BALANCE SHEET'!H14</f>
        <v>32579.670000000002</v>
      </c>
      <c r="I41" s="75">
        <f>'BALANCE SHEET'!I14</f>
        <v>27037.8</v>
      </c>
      <c r="J41" s="112">
        <f>'BALANCE SHEET'!J14</f>
        <v>27287.850534451056</v>
      </c>
      <c r="K41" s="109">
        <f>'BALANCE SHEET'!K14</f>
        <v>27902.059750781526</v>
      </c>
      <c r="L41" s="109">
        <f>'BALANCE SHEET'!L14</f>
        <v>28697.059122845949</v>
      </c>
      <c r="M41" s="109">
        <f>'BALANCE SHEET'!M14</f>
        <v>29715.416468219446</v>
      </c>
      <c r="N41" s="75">
        <f>'BALANCE SHEET'!N14</f>
        <v>31077.875528956385</v>
      </c>
    </row>
    <row r="42" spans="2:17" ht="14.25" customHeight="1">
      <c r="B42" s="91" t="s">
        <v>87</v>
      </c>
      <c r="C42" s="112">
        <f>'BALANCE SHEET'!C16</f>
        <v>3057.68</v>
      </c>
      <c r="D42" s="63">
        <f>'BALANCE SHEET'!D16</f>
        <v>3426.77</v>
      </c>
      <c r="E42" s="63">
        <f>'BALANCE SHEET'!E16</f>
        <v>3792.93</v>
      </c>
      <c r="F42" s="63">
        <f>'BALANCE SHEET'!F16</f>
        <v>4255.2299999999996</v>
      </c>
      <c r="G42" s="63">
        <f>'BALANCE SHEET'!G16</f>
        <v>5283.8</v>
      </c>
      <c r="H42" s="63">
        <f>'BALANCE SHEET'!H16</f>
        <v>8910.4500000000007</v>
      </c>
      <c r="I42" s="75">
        <f>'BALANCE SHEET'!I16</f>
        <v>12075.51</v>
      </c>
      <c r="J42" s="112">
        <f>J44*J41</f>
        <v>11000.15630463072</v>
      </c>
      <c r="K42" s="63">
        <f>K44*K41</f>
        <v>10446.797387344322</v>
      </c>
      <c r="L42" s="63">
        <f>L44*L41</f>
        <v>11709.748109809307</v>
      </c>
      <c r="M42" s="63">
        <f>M44*M41</f>
        <v>11743.25567204857</v>
      </c>
      <c r="N42" s="75">
        <f>N44*N41</f>
        <v>12199.590983111091</v>
      </c>
      <c r="P42" s="24" t="s">
        <v>195</v>
      </c>
    </row>
    <row r="43" spans="2:17" ht="14.25" customHeight="1">
      <c r="B43" s="91" t="s">
        <v>190</v>
      </c>
      <c r="C43" s="34">
        <f t="shared" ref="C43:N43" si="9">C42/C41</f>
        <v>0.3348152301027984</v>
      </c>
      <c r="D43" s="32">
        <f t="shared" si="9"/>
        <v>0.28270017827723637</v>
      </c>
      <c r="E43" s="32">
        <f t="shared" si="9"/>
        <v>0.27531364413693782</v>
      </c>
      <c r="F43" s="32">
        <f t="shared" si="9"/>
        <v>0.26706201842785227</v>
      </c>
      <c r="G43" s="32">
        <f t="shared" si="9"/>
        <v>0.48923349283714318</v>
      </c>
      <c r="H43" s="32">
        <f t="shared" si="9"/>
        <v>0.27349724536804704</v>
      </c>
      <c r="I43" s="35">
        <f t="shared" si="9"/>
        <v>0.44661584892261946</v>
      </c>
      <c r="J43" s="34">
        <f t="shared" si="9"/>
        <v>0.40311552904260323</v>
      </c>
      <c r="K43" s="32">
        <f t="shared" si="9"/>
        <v>0.37440954111108993</v>
      </c>
      <c r="L43" s="32">
        <f t="shared" si="9"/>
        <v>0.40804697302543752</v>
      </c>
      <c r="M43" s="32">
        <f t="shared" si="9"/>
        <v>0.39519068105971017</v>
      </c>
      <c r="N43" s="35">
        <f t="shared" si="9"/>
        <v>0.39254906506541248</v>
      </c>
    </row>
    <row r="44" spans="2:17" ht="28.5" customHeight="1">
      <c r="B44" s="143" t="s">
        <v>191</v>
      </c>
      <c r="C44" s="186"/>
      <c r="D44" s="187"/>
      <c r="E44" s="187"/>
      <c r="F44" s="145">
        <f t="shared" ref="F44:N44" si="10">SUM(C43:E43)/3</f>
        <v>0.2976096841723242</v>
      </c>
      <c r="G44" s="145">
        <f t="shared" si="10"/>
        <v>0.27502528028067547</v>
      </c>
      <c r="H44" s="145">
        <f t="shared" si="10"/>
        <v>0.34386971846731113</v>
      </c>
      <c r="I44" s="147">
        <f t="shared" si="10"/>
        <v>0.34326425221101414</v>
      </c>
      <c r="J44" s="188">
        <f t="shared" si="10"/>
        <v>0.40311552904260323</v>
      </c>
      <c r="K44" s="145">
        <f t="shared" si="10"/>
        <v>0.37440954111108993</v>
      </c>
      <c r="L44" s="145">
        <f t="shared" si="10"/>
        <v>0.40804697302543752</v>
      </c>
      <c r="M44" s="145">
        <f t="shared" si="10"/>
        <v>0.39519068105971017</v>
      </c>
      <c r="N44" s="147">
        <f t="shared" si="10"/>
        <v>0.39254906506541248</v>
      </c>
      <c r="P44" s="24" t="s">
        <v>196</v>
      </c>
      <c r="Q44" s="172" t="s">
        <v>197</v>
      </c>
    </row>
    <row r="46" spans="2:17" ht="14.25" customHeight="1">
      <c r="B46" s="72" t="s">
        <v>198</v>
      </c>
      <c r="C46" s="14" t="s">
        <v>1</v>
      </c>
      <c r="D46" s="15" t="s">
        <v>1</v>
      </c>
      <c r="E46" s="15" t="s">
        <v>1</v>
      </c>
      <c r="F46" s="15" t="s">
        <v>1</v>
      </c>
      <c r="G46" s="15" t="s">
        <v>1</v>
      </c>
      <c r="H46" s="15" t="s">
        <v>1</v>
      </c>
      <c r="I46" s="16" t="s">
        <v>1</v>
      </c>
      <c r="J46" s="100" t="s">
        <v>2</v>
      </c>
      <c r="K46" s="17" t="s">
        <v>2</v>
      </c>
      <c r="L46" s="17" t="s">
        <v>2</v>
      </c>
      <c r="M46" s="17" t="s">
        <v>2</v>
      </c>
      <c r="N46" s="18" t="s">
        <v>2</v>
      </c>
    </row>
    <row r="47" spans="2:17" ht="14.25" customHeight="1">
      <c r="B47" s="72"/>
      <c r="C47" s="72">
        <v>2019</v>
      </c>
      <c r="D47" s="73">
        <v>2020</v>
      </c>
      <c r="E47" s="73">
        <v>2021</v>
      </c>
      <c r="F47" s="73">
        <v>2022</v>
      </c>
      <c r="G47" s="73">
        <v>2023</v>
      </c>
      <c r="H47" s="73">
        <v>2024</v>
      </c>
      <c r="I47" s="74">
        <v>2025</v>
      </c>
      <c r="J47" s="72">
        <v>2026</v>
      </c>
      <c r="K47" s="73">
        <v>2027</v>
      </c>
      <c r="L47" s="73">
        <v>2028</v>
      </c>
      <c r="M47" s="73">
        <v>2029</v>
      </c>
      <c r="N47" s="74">
        <v>2030</v>
      </c>
    </row>
    <row r="48" spans="2:17" ht="14.25" customHeight="1">
      <c r="B48" s="72" t="s">
        <v>89</v>
      </c>
      <c r="C48" s="108">
        <f>'BALANCE SHEET'!C20</f>
        <v>645.75</v>
      </c>
      <c r="D48" s="109">
        <f>'BALANCE SHEET'!D20</f>
        <v>631.80999999999995</v>
      </c>
      <c r="E48" s="109">
        <f>'BALANCE SHEET'!E20</f>
        <v>795.82</v>
      </c>
      <c r="F48" s="109">
        <f>'BALANCE SHEET'!F20</f>
        <v>1144.18</v>
      </c>
      <c r="G48" s="109">
        <f>'BALANCE SHEET'!G20</f>
        <v>1060.7</v>
      </c>
      <c r="H48" s="109">
        <f>'BALANCE SHEET'!H20</f>
        <v>1098.6400000000001</v>
      </c>
      <c r="I48" s="110">
        <f>'BALANCE SHEET'!I20</f>
        <v>1655.13</v>
      </c>
      <c r="J48" s="108">
        <f>'BALANCE SHEET'!J20</f>
        <v>2078.7680235999997</v>
      </c>
      <c r="K48" s="109">
        <f>'BALANCE SHEET'!K20</f>
        <v>2551.7225295139997</v>
      </c>
      <c r="L48" s="109">
        <f>'BALANCE SHEET'!L20</f>
        <v>3077.2126801427398</v>
      </c>
      <c r="M48" s="109">
        <f>'BALANCE SHEET'!M20</f>
        <v>3654.9382476497749</v>
      </c>
      <c r="N48" s="110">
        <f>'BALANCE SHEET'!N20</f>
        <v>4280.9952406726097</v>
      </c>
    </row>
    <row r="49" spans="2:17" ht="14.25" customHeight="1">
      <c r="B49" s="77" t="s">
        <v>90</v>
      </c>
      <c r="C49" s="112">
        <f>'BALANCE SHEET'!C21</f>
        <v>5958.6</v>
      </c>
      <c r="D49" s="63">
        <f>'BALANCE SHEET'!D21</f>
        <v>5372.7</v>
      </c>
      <c r="E49" s="63">
        <f>'BALANCE SHEET'!E21</f>
        <v>7984.79</v>
      </c>
      <c r="F49" s="63">
        <f>'BALANCE SHEET'!F21</f>
        <v>8074.19</v>
      </c>
      <c r="G49" s="63">
        <f>'BALANCE SHEET'!G21</f>
        <v>12538.66</v>
      </c>
      <c r="H49" s="63">
        <f>'BALANCE SHEET'!H21</f>
        <v>20970.169999999998</v>
      </c>
      <c r="I49" s="75">
        <f>'BALANCE SHEET'!I21</f>
        <v>20588.79</v>
      </c>
      <c r="J49" s="112">
        <f>I52*I50</f>
        <v>20744.77624815992</v>
      </c>
      <c r="K49" s="63">
        <f>J52*J50</f>
        <v>21185.797817856259</v>
      </c>
      <c r="L49" s="63">
        <f>K52*K50</f>
        <v>21577.519817820055</v>
      </c>
      <c r="M49" s="63">
        <f>L52*L50</f>
        <v>21997.037238482833</v>
      </c>
      <c r="N49" s="75">
        <f>M52*M50</f>
        <v>22447.261947675252</v>
      </c>
      <c r="P49" s="24" t="s">
        <v>199</v>
      </c>
    </row>
    <row r="50" spans="2:17" ht="14.25" customHeight="1">
      <c r="B50" s="77" t="s">
        <v>91</v>
      </c>
      <c r="C50" s="112">
        <f>'BALANCE SHEET'!C22</f>
        <v>6604.35</v>
      </c>
      <c r="D50" s="63">
        <f>'BALANCE SHEET'!D22</f>
        <v>6004.51</v>
      </c>
      <c r="E50" s="63">
        <f>'BALANCE SHEET'!E22</f>
        <v>8780.61</v>
      </c>
      <c r="F50" s="63">
        <f>'BALANCE SHEET'!F22</f>
        <v>9218.369999999999</v>
      </c>
      <c r="G50" s="63">
        <f>'BALANCE SHEET'!G22</f>
        <v>13599.36</v>
      </c>
      <c r="H50" s="63">
        <f>'BALANCE SHEET'!H22</f>
        <v>22068.809999999998</v>
      </c>
      <c r="I50" s="75">
        <f>'BALANCE SHEET'!I22</f>
        <v>22243.920000000002</v>
      </c>
      <c r="J50" s="112">
        <f>'BALANCE SHEET'!J22</f>
        <v>22823.544271759922</v>
      </c>
      <c r="K50" s="63">
        <f>'BALANCE SHEET'!K22</f>
        <v>23737.520347370257</v>
      </c>
      <c r="L50" s="63">
        <f>'BALANCE SHEET'!L22</f>
        <v>24654.732497962796</v>
      </c>
      <c r="M50" s="63">
        <f>'BALANCE SHEET'!M22</f>
        <v>25651.975486132607</v>
      </c>
      <c r="N50" s="75">
        <f>'BALANCE SHEET'!N22</f>
        <v>26728.257188347859</v>
      </c>
    </row>
    <row r="51" spans="2:17" ht="14.25" customHeight="1">
      <c r="B51" s="77" t="s">
        <v>200</v>
      </c>
      <c r="C51" s="34">
        <f t="shared" ref="C51:N51" si="11">C49/C50</f>
        <v>0.90222353448863246</v>
      </c>
      <c r="D51" s="32">
        <f t="shared" si="11"/>
        <v>0.89477742563506424</v>
      </c>
      <c r="E51" s="32">
        <f t="shared" si="11"/>
        <v>0.90936620576474747</v>
      </c>
      <c r="F51" s="32">
        <f t="shared" si="11"/>
        <v>0.875880443071823</v>
      </c>
      <c r="G51" s="32">
        <f t="shared" si="11"/>
        <v>0.92200368252623643</v>
      </c>
      <c r="H51" s="32">
        <f t="shared" si="11"/>
        <v>0.95021752418911576</v>
      </c>
      <c r="I51" s="35">
        <f t="shared" si="11"/>
        <v>0.92559180216436665</v>
      </c>
      <c r="J51" s="34">
        <f t="shared" si="11"/>
        <v>0.90892001702942748</v>
      </c>
      <c r="K51" s="32">
        <f t="shared" si="11"/>
        <v>0.89250256588840848</v>
      </c>
      <c r="L51" s="32">
        <f t="shared" si="11"/>
        <v>0.87518774821844003</v>
      </c>
      <c r="M51" s="32">
        <f t="shared" si="11"/>
        <v>0.85751825431044781</v>
      </c>
      <c r="N51" s="35">
        <f t="shared" si="11"/>
        <v>0.83983260822037809</v>
      </c>
    </row>
    <row r="52" spans="2:17" ht="28.5" customHeight="1">
      <c r="B52" s="21" t="s">
        <v>191</v>
      </c>
      <c r="C52" s="189"/>
      <c r="D52" s="190"/>
      <c r="E52" s="145">
        <f t="shared" ref="E52:N52" si="12">SUM(C51:E51)/3</f>
        <v>0.90212238862948135</v>
      </c>
      <c r="F52" s="145">
        <f t="shared" si="12"/>
        <v>0.8933413581572115</v>
      </c>
      <c r="G52" s="145">
        <f t="shared" si="12"/>
        <v>0.90241677712093571</v>
      </c>
      <c r="H52" s="145">
        <f t="shared" si="12"/>
        <v>0.91603388326239177</v>
      </c>
      <c r="I52" s="147">
        <f t="shared" si="12"/>
        <v>0.93260433629323958</v>
      </c>
      <c r="J52" s="188">
        <f t="shared" si="12"/>
        <v>0.92824311446096985</v>
      </c>
      <c r="K52" s="145">
        <f t="shared" si="12"/>
        <v>0.90900479502740084</v>
      </c>
      <c r="L52" s="145">
        <f t="shared" si="12"/>
        <v>0.89220344371209193</v>
      </c>
      <c r="M52" s="145">
        <f t="shared" si="12"/>
        <v>0.87506952280576533</v>
      </c>
      <c r="N52" s="147">
        <f t="shared" si="12"/>
        <v>0.85751287024975531</v>
      </c>
      <c r="P52" s="24" t="s">
        <v>201</v>
      </c>
      <c r="Q52" s="172" t="s">
        <v>202</v>
      </c>
    </row>
    <row r="54" spans="2:17" ht="14.25" customHeight="1">
      <c r="B54" s="72" t="s">
        <v>203</v>
      </c>
      <c r="C54" s="14" t="s">
        <v>1</v>
      </c>
      <c r="D54" s="15" t="s">
        <v>1</v>
      </c>
      <c r="E54" s="15" t="s">
        <v>1</v>
      </c>
      <c r="F54" s="15" t="s">
        <v>1</v>
      </c>
      <c r="G54" s="15" t="s">
        <v>1</v>
      </c>
      <c r="H54" s="15" t="s">
        <v>1</v>
      </c>
      <c r="I54" s="16" t="s">
        <v>1</v>
      </c>
      <c r="J54" s="100" t="s">
        <v>2</v>
      </c>
      <c r="K54" s="17" t="s">
        <v>2</v>
      </c>
      <c r="L54" s="17" t="s">
        <v>2</v>
      </c>
      <c r="M54" s="17" t="s">
        <v>2</v>
      </c>
      <c r="N54" s="18" t="s">
        <v>2</v>
      </c>
    </row>
    <row r="55" spans="2:17" ht="14.25" customHeight="1">
      <c r="B55" s="72"/>
      <c r="C55" s="72">
        <v>2019</v>
      </c>
      <c r="D55" s="73">
        <v>2020</v>
      </c>
      <c r="E55" s="73">
        <v>2021</v>
      </c>
      <c r="F55" s="73">
        <v>2022</v>
      </c>
      <c r="G55" s="73">
        <v>2023</v>
      </c>
      <c r="H55" s="73">
        <v>2024</v>
      </c>
      <c r="I55" s="74">
        <v>2025</v>
      </c>
      <c r="J55" s="72">
        <v>2026</v>
      </c>
      <c r="K55" s="73">
        <v>2027</v>
      </c>
      <c r="L55" s="73">
        <v>2028</v>
      </c>
      <c r="M55" s="73">
        <v>2029</v>
      </c>
      <c r="N55" s="74">
        <v>2030</v>
      </c>
    </row>
    <row r="56" spans="2:17" ht="28.5" customHeight="1">
      <c r="B56" s="72" t="s">
        <v>92</v>
      </c>
      <c r="C56" s="108">
        <f>'BALANCE SHEET'!C24</f>
        <v>452.51</v>
      </c>
      <c r="D56" s="109">
        <f>'BALANCE SHEET'!D24</f>
        <v>652.11</v>
      </c>
      <c r="E56" s="109">
        <f>'BALANCE SHEET'!E24</f>
        <v>998.58</v>
      </c>
      <c r="F56" s="109">
        <f>'BALANCE SHEET'!F24</f>
        <v>1614.95</v>
      </c>
      <c r="G56" s="109">
        <f>'BALANCE SHEET'!G24</f>
        <v>1589.21</v>
      </c>
      <c r="H56" s="109">
        <f>'BALANCE SHEET'!H24</f>
        <v>1864.66</v>
      </c>
      <c r="I56" s="110">
        <f>'BALANCE SHEET'!I24</f>
        <v>1512.21</v>
      </c>
      <c r="J56" s="108">
        <f>J57*I59/365</f>
        <v>2386.5907397260276</v>
      </c>
      <c r="K56" s="109">
        <f>K57*J59/365</f>
        <v>2716.1675561643842</v>
      </c>
      <c r="L56" s="109">
        <f>L57*K59/365</f>
        <v>3044.8238304602742</v>
      </c>
      <c r="M56" s="109">
        <f>M57*L59/365</f>
        <v>3733.9155394591785</v>
      </c>
      <c r="N56" s="110">
        <f>N57*M59/365</f>
        <v>4186.6527986186029</v>
      </c>
      <c r="P56" s="24" t="s">
        <v>204</v>
      </c>
      <c r="Q56" s="172" t="s">
        <v>205</v>
      </c>
    </row>
    <row r="57" spans="2:17" ht="14.25" customHeight="1">
      <c r="B57" s="77" t="s">
        <v>5</v>
      </c>
      <c r="C57" s="112">
        <f>'INCOME STATEMENT'!C4</f>
        <v>2997.42</v>
      </c>
      <c r="D57" s="63">
        <f>'INCOME STATEMENT'!D4</f>
        <v>3507.93</v>
      </c>
      <c r="E57" s="63">
        <f>'INCOME STATEMENT'!E4</f>
        <v>5624.82</v>
      </c>
      <c r="F57" s="63">
        <f>'INCOME STATEMENT'!F4</f>
        <v>8929</v>
      </c>
      <c r="G57" s="63">
        <f>'INCOME STATEMENT'!G4</f>
        <v>11856</v>
      </c>
      <c r="H57" s="63">
        <f>'INCOME STATEMENT'!H4</f>
        <v>14780</v>
      </c>
      <c r="I57" s="75">
        <f>'INCOME STATEMENT'!I4</f>
        <v>17141</v>
      </c>
      <c r="J57" s="112">
        <f>'INCOME STATEMENT'!J4</f>
        <v>20740.61</v>
      </c>
      <c r="K57" s="63">
        <f>'INCOME STATEMENT'!K4</f>
        <v>24785.028950000004</v>
      </c>
      <c r="L57" s="63">
        <f>'INCOME STATEMENT'!L4</f>
        <v>29246.334161000002</v>
      </c>
      <c r="M57" s="63">
        <f>'INCOME STATEMENT'!M4</f>
        <v>34071.979297565005</v>
      </c>
      <c r="N57" s="75">
        <f>'INCOME STATEMENT'!N4</f>
        <v>39182.776192199752</v>
      </c>
    </row>
    <row r="58" spans="2:17" ht="14.25" customHeight="1">
      <c r="B58" s="77" t="s">
        <v>206</v>
      </c>
      <c r="C58" s="77">
        <f t="shared" ref="C58:N58" si="13">ROUND(C56*365/C57,0)</f>
        <v>55</v>
      </c>
      <c r="D58">
        <f t="shared" si="13"/>
        <v>68</v>
      </c>
      <c r="E58">
        <f t="shared" si="13"/>
        <v>65</v>
      </c>
      <c r="F58">
        <f t="shared" si="13"/>
        <v>66</v>
      </c>
      <c r="G58">
        <f t="shared" si="13"/>
        <v>49</v>
      </c>
      <c r="H58">
        <f t="shared" si="13"/>
        <v>46</v>
      </c>
      <c r="I58" s="24">
        <f t="shared" si="13"/>
        <v>32</v>
      </c>
      <c r="J58" s="77">
        <f t="shared" si="13"/>
        <v>42</v>
      </c>
      <c r="K58">
        <f t="shared" si="13"/>
        <v>40</v>
      </c>
      <c r="L58">
        <f t="shared" si="13"/>
        <v>38</v>
      </c>
      <c r="M58">
        <f t="shared" si="13"/>
        <v>40</v>
      </c>
      <c r="N58" s="24">
        <f t="shared" si="13"/>
        <v>39</v>
      </c>
      <c r="P58" s="24" t="s">
        <v>207</v>
      </c>
    </row>
    <row r="59" spans="2:17" ht="14.25" customHeight="1">
      <c r="B59" s="21" t="s">
        <v>208</v>
      </c>
      <c r="C59" s="189"/>
      <c r="D59" s="190"/>
      <c r="E59" s="22">
        <f t="shared" ref="E59:N59" si="14">ROUND(AVERAGE(C58:E58),0)</f>
        <v>63</v>
      </c>
      <c r="F59" s="22">
        <f t="shared" si="14"/>
        <v>66</v>
      </c>
      <c r="G59" s="22">
        <f t="shared" si="14"/>
        <v>60</v>
      </c>
      <c r="H59" s="22">
        <f t="shared" si="14"/>
        <v>54</v>
      </c>
      <c r="I59" s="23">
        <f t="shared" si="14"/>
        <v>42</v>
      </c>
      <c r="J59" s="21">
        <f t="shared" si="14"/>
        <v>40</v>
      </c>
      <c r="K59" s="22">
        <f t="shared" si="14"/>
        <v>38</v>
      </c>
      <c r="L59" s="22">
        <f t="shared" si="14"/>
        <v>40</v>
      </c>
      <c r="M59" s="22">
        <f t="shared" si="14"/>
        <v>39</v>
      </c>
      <c r="N59" s="23">
        <f t="shared" si="14"/>
        <v>39</v>
      </c>
      <c r="P59" s="24" t="s">
        <v>209</v>
      </c>
    </row>
    <row r="61" spans="2:17" ht="14.25" customHeight="1">
      <c r="B61" s="72" t="s">
        <v>198</v>
      </c>
      <c r="C61" s="14" t="s">
        <v>1</v>
      </c>
      <c r="D61" s="15" t="s">
        <v>1</v>
      </c>
      <c r="E61" s="15" t="s">
        <v>1</v>
      </c>
      <c r="F61" s="15" t="s">
        <v>1</v>
      </c>
      <c r="G61" s="15" t="s">
        <v>1</v>
      </c>
      <c r="H61" s="15" t="s">
        <v>1</v>
      </c>
      <c r="I61" s="16" t="s">
        <v>1</v>
      </c>
      <c r="J61" s="100" t="s">
        <v>2</v>
      </c>
      <c r="K61" s="17" t="s">
        <v>2</v>
      </c>
      <c r="L61" s="17" t="s">
        <v>2</v>
      </c>
      <c r="M61" s="17" t="s">
        <v>2</v>
      </c>
      <c r="N61" s="18" t="s">
        <v>2</v>
      </c>
    </row>
    <row r="62" spans="2:17" ht="14.25" customHeight="1">
      <c r="B62" s="72"/>
      <c r="C62" s="72">
        <v>2019</v>
      </c>
      <c r="D62" s="73">
        <v>2020</v>
      </c>
      <c r="E62" s="73">
        <v>2021</v>
      </c>
      <c r="F62" s="73">
        <v>2022</v>
      </c>
      <c r="G62" s="73">
        <v>2023</v>
      </c>
      <c r="H62" s="73">
        <v>2024</v>
      </c>
      <c r="I62" s="74">
        <v>2025</v>
      </c>
      <c r="J62" s="72">
        <v>2026</v>
      </c>
      <c r="K62" s="73">
        <v>2027</v>
      </c>
      <c r="L62" s="73">
        <v>2028</v>
      </c>
      <c r="M62" s="73">
        <v>2029</v>
      </c>
      <c r="N62" s="74">
        <v>2030</v>
      </c>
    </row>
    <row r="63" spans="2:17" ht="14.25" customHeight="1">
      <c r="B63" s="72" t="s">
        <v>5</v>
      </c>
      <c r="C63" s="108">
        <f>'INCOME STATEMENT'!C4</f>
        <v>2997.42</v>
      </c>
      <c r="D63" s="109">
        <f>'INCOME STATEMENT'!D4</f>
        <v>3507.93</v>
      </c>
      <c r="E63" s="109">
        <f>'INCOME STATEMENT'!E4</f>
        <v>5624.82</v>
      </c>
      <c r="F63" s="109">
        <f>'INCOME STATEMENT'!F4</f>
        <v>8929</v>
      </c>
      <c r="G63" s="109">
        <f>'INCOME STATEMENT'!G4</f>
        <v>11856</v>
      </c>
      <c r="H63" s="109">
        <f>'INCOME STATEMENT'!H4</f>
        <v>14780</v>
      </c>
      <c r="I63" s="110">
        <f>'INCOME STATEMENT'!I4</f>
        <v>17141</v>
      </c>
      <c r="J63" s="108">
        <f>'INCOME STATEMENT'!J4</f>
        <v>20740.61</v>
      </c>
      <c r="K63" s="109">
        <f>'INCOME STATEMENT'!K4</f>
        <v>24785.028950000004</v>
      </c>
      <c r="L63" s="109">
        <f>'INCOME STATEMENT'!L4</f>
        <v>29246.334161000002</v>
      </c>
      <c r="M63" s="109">
        <f>'INCOME STATEMENT'!M4</f>
        <v>34071.979297565005</v>
      </c>
      <c r="N63" s="110">
        <f>'INCOME STATEMENT'!N4</f>
        <v>39182.776192199752</v>
      </c>
    </row>
    <row r="64" spans="2:17" ht="28.5" customHeight="1">
      <c r="B64" s="77" t="s">
        <v>94</v>
      </c>
      <c r="C64" s="112">
        <f>'BALANCE SHEET'!C26</f>
        <v>3380.84</v>
      </c>
      <c r="D64" s="63">
        <f>'BALANCE SHEET'!D26</f>
        <v>7835.81</v>
      </c>
      <c r="E64" s="63">
        <f>'BALANCE SHEET'!E26</f>
        <v>5968.9</v>
      </c>
      <c r="F64" s="63">
        <f>'BALANCE SHEET'!F26</f>
        <v>8450.94</v>
      </c>
      <c r="G64" s="63">
        <f>'BALANCE SHEET'!G26</f>
        <v>9006.3799999999992</v>
      </c>
      <c r="H64" s="63">
        <f>'BALANCE SHEET'!H26</f>
        <v>11566.99</v>
      </c>
      <c r="I64" s="75">
        <f>'BALANCE SHEET'!I26</f>
        <v>17957.900000000001</v>
      </c>
      <c r="J64" s="112">
        <f>J63*I66</f>
        <v>17905.479641417052</v>
      </c>
      <c r="K64" s="63">
        <f>K63*J66</f>
        <v>22253.436331820769</v>
      </c>
      <c r="L64" s="63">
        <f>L63*K66</f>
        <v>27382.572603270237</v>
      </c>
      <c r="M64" s="63">
        <f>M63*L66</f>
        <v>30635.672709838593</v>
      </c>
      <c r="N64" s="75">
        <f>N63*M66</f>
        <v>35699.131341900931</v>
      </c>
      <c r="P64" s="24" t="s">
        <v>210</v>
      </c>
      <c r="Q64" s="172" t="s">
        <v>211</v>
      </c>
    </row>
    <row r="65" spans="2:16" ht="14.25" customHeight="1">
      <c r="B65" s="77" t="s">
        <v>212</v>
      </c>
      <c r="C65" s="34">
        <f t="shared" ref="C65:N65" si="15">C64/C63</f>
        <v>1.127916675007173</v>
      </c>
      <c r="D65" s="32">
        <f t="shared" si="15"/>
        <v>2.2337418363536332</v>
      </c>
      <c r="E65" s="32">
        <f t="shared" si="15"/>
        <v>1.0611717352733065</v>
      </c>
      <c r="F65" s="32">
        <f t="shared" si="15"/>
        <v>0.94645984992720356</v>
      </c>
      <c r="G65" s="32">
        <f t="shared" si="15"/>
        <v>0.75964743589743589</v>
      </c>
      <c r="H65" s="32">
        <f t="shared" si="15"/>
        <v>0.7826109607577808</v>
      </c>
      <c r="I65" s="35">
        <f t="shared" si="15"/>
        <v>1.0476576629134824</v>
      </c>
      <c r="J65" s="34">
        <f t="shared" si="15"/>
        <v>0.86330535318956636</v>
      </c>
      <c r="K65" s="32">
        <f t="shared" si="15"/>
        <v>0.8978579922869433</v>
      </c>
      <c r="L65" s="32">
        <f t="shared" si="15"/>
        <v>0.93627366946333079</v>
      </c>
      <c r="M65" s="32">
        <f t="shared" si="15"/>
        <v>0.89914567164661341</v>
      </c>
      <c r="N65" s="35">
        <f t="shared" si="15"/>
        <v>0.9110924444656292</v>
      </c>
    </row>
    <row r="66" spans="2:16" ht="14.25" customHeight="1">
      <c r="B66" s="21" t="s">
        <v>213</v>
      </c>
      <c r="C66" s="189"/>
      <c r="D66" s="190"/>
      <c r="E66" s="145">
        <f t="shared" ref="E66:N66" si="16">SUM(C65:E65)/3</f>
        <v>1.4742767488780377</v>
      </c>
      <c r="F66" s="145">
        <f t="shared" si="16"/>
        <v>1.4137911405180477</v>
      </c>
      <c r="G66" s="145">
        <f t="shared" si="16"/>
        <v>0.92242634036598192</v>
      </c>
      <c r="H66" s="145">
        <f t="shared" si="16"/>
        <v>0.82957274886080679</v>
      </c>
      <c r="I66" s="147">
        <f t="shared" si="16"/>
        <v>0.86330535318956636</v>
      </c>
      <c r="J66" s="188">
        <f t="shared" si="16"/>
        <v>0.8978579922869433</v>
      </c>
      <c r="K66" s="145">
        <f t="shared" si="16"/>
        <v>0.93627366946333079</v>
      </c>
      <c r="L66" s="145">
        <f t="shared" si="16"/>
        <v>0.89914567164661341</v>
      </c>
      <c r="M66" s="145">
        <f t="shared" si="16"/>
        <v>0.9110924444656292</v>
      </c>
      <c r="N66" s="147">
        <f t="shared" si="16"/>
        <v>0.91550392852519114</v>
      </c>
      <c r="P66" s="24" t="s">
        <v>201</v>
      </c>
    </row>
    <row r="68" spans="2:16" ht="14.25" customHeight="1">
      <c r="B68" s="72" t="s">
        <v>198</v>
      </c>
      <c r="C68" s="14" t="s">
        <v>1</v>
      </c>
      <c r="D68" s="15" t="s">
        <v>1</v>
      </c>
      <c r="E68" s="15" t="s">
        <v>1</v>
      </c>
      <c r="F68" s="15" t="s">
        <v>1</v>
      </c>
      <c r="G68" s="15" t="s">
        <v>1</v>
      </c>
      <c r="H68" s="15" t="s">
        <v>1</v>
      </c>
      <c r="I68" s="16" t="s">
        <v>1</v>
      </c>
      <c r="J68" s="100" t="s">
        <v>2</v>
      </c>
      <c r="K68" s="17" t="s">
        <v>2</v>
      </c>
      <c r="L68" s="17" t="s">
        <v>2</v>
      </c>
      <c r="M68" s="17" t="s">
        <v>2</v>
      </c>
      <c r="N68" s="18" t="s">
        <v>2</v>
      </c>
    </row>
    <row r="69" spans="2:16" ht="14.25" customHeight="1">
      <c r="B69" s="72"/>
      <c r="C69" s="72">
        <v>2019</v>
      </c>
      <c r="D69" s="73">
        <v>2020</v>
      </c>
      <c r="E69" s="73">
        <v>2021</v>
      </c>
      <c r="F69" s="73">
        <v>2022</v>
      </c>
      <c r="G69" s="73">
        <v>2023</v>
      </c>
      <c r="H69" s="73">
        <v>2024</v>
      </c>
      <c r="I69" s="74">
        <v>2025</v>
      </c>
      <c r="J69" s="72">
        <v>2026</v>
      </c>
      <c r="K69" s="73">
        <v>2027</v>
      </c>
      <c r="L69" s="73">
        <v>2028</v>
      </c>
      <c r="M69" s="73">
        <v>2029</v>
      </c>
      <c r="N69" s="74">
        <v>2030</v>
      </c>
    </row>
    <row r="70" spans="2:16" ht="14.25" customHeight="1">
      <c r="B70" s="72" t="s">
        <v>47</v>
      </c>
      <c r="C70" s="191"/>
      <c r="D70" s="109">
        <f>'CASH FLOW'!E8</f>
        <v>-199.60000000000002</v>
      </c>
      <c r="E70" s="109">
        <f>'CASH FLOW'!F8</f>
        <v>-346.47</v>
      </c>
      <c r="F70" s="109">
        <f>'CASH FLOW'!G8</f>
        <v>-616.37</v>
      </c>
      <c r="G70" s="109">
        <f>'CASH FLOW'!H8</f>
        <v>25.740000000000009</v>
      </c>
      <c r="H70" s="109">
        <f>'CASH FLOW'!I8</f>
        <v>-275.45000000000005</v>
      </c>
      <c r="I70" s="110">
        <f>'CASH FLOW'!J8</f>
        <v>352.45000000000005</v>
      </c>
      <c r="J70" s="108">
        <f>'CASH FLOW'!K8</f>
        <v>-874.38073972602751</v>
      </c>
      <c r="K70" s="109">
        <f>'CASH FLOW'!L8</f>
        <v>-329.57681643835667</v>
      </c>
      <c r="L70" s="109">
        <f>'CASH FLOW'!M8</f>
        <v>-328.65627429588994</v>
      </c>
      <c r="M70" s="109">
        <f>'CASH FLOW'!N8</f>
        <v>-689.09170899890432</v>
      </c>
      <c r="N70" s="110">
        <f>'CASH FLOW'!O8</f>
        <v>-452.73725915942441</v>
      </c>
    </row>
    <row r="71" spans="2:16" ht="14.25" customHeight="1">
      <c r="B71" s="77" t="s">
        <v>49</v>
      </c>
      <c r="C71" s="192"/>
      <c r="D71" s="63">
        <f>'CASH FLOW'!E9</f>
        <v>-4454.97</v>
      </c>
      <c r="E71" s="63">
        <f>'CASH FLOW'!F9</f>
        <v>1866.9100000000008</v>
      </c>
      <c r="F71" s="63">
        <f>'CASH FLOW'!G9</f>
        <v>-2482.0400000000009</v>
      </c>
      <c r="G71" s="63">
        <f>'CASH FLOW'!H9</f>
        <v>-555.43999999999869</v>
      </c>
      <c r="H71" s="63">
        <f>'CASH FLOW'!I9</f>
        <v>-2560.6100000000006</v>
      </c>
      <c r="I71" s="75">
        <f>'CASH FLOW'!J9</f>
        <v>-6390.9100000000017</v>
      </c>
      <c r="J71" s="112">
        <f>'CASH FLOW'!K9</f>
        <v>52.42035858294912</v>
      </c>
      <c r="K71" s="63">
        <f>'CASH FLOW'!L9</f>
        <v>-4347.9566904037165</v>
      </c>
      <c r="L71" s="63">
        <f>'CASH FLOW'!M9</f>
        <v>-5129.136271449468</v>
      </c>
      <c r="M71" s="63">
        <f>'CASH FLOW'!N9</f>
        <v>-3253.1001065683558</v>
      </c>
      <c r="N71" s="75">
        <f>'CASH FLOW'!O9</f>
        <v>-5063.4586320623384</v>
      </c>
    </row>
    <row r="72" spans="2:16" ht="14.25" customHeight="1">
      <c r="B72" s="77" t="s">
        <v>50</v>
      </c>
      <c r="C72" s="192"/>
      <c r="D72" s="63">
        <f>'CASH FLOW'!E10</f>
        <v>2915.59</v>
      </c>
      <c r="E72" s="63">
        <f>'CASH FLOW'!F10</f>
        <v>1675.4600000000009</v>
      </c>
      <c r="F72" s="63">
        <f>'CASH FLOW'!G10</f>
        <v>1929.9399999999987</v>
      </c>
      <c r="G72" s="63">
        <f>'CASH FLOW'!H10</f>
        <v>-5078.1899999999987</v>
      </c>
      <c r="H72" s="63">
        <f>'CASH FLOW'!I10</f>
        <v>21641.620000000003</v>
      </c>
      <c r="I72" s="75">
        <f>'CASH FLOW'!J10</f>
        <v>-5836.5400000000009</v>
      </c>
      <c r="J72" s="112">
        <f>'CASH FLOW'!K10</f>
        <v>66.015772713290062</v>
      </c>
      <c r="K72" s="63">
        <f>'CASH FLOW'!L10</f>
        <v>248.20807873806916</v>
      </c>
      <c r="L72" s="63">
        <f>'CASH FLOW'!M10</f>
        <v>288.58469611643886</v>
      </c>
      <c r="M72" s="63">
        <f>'CASH FLOW'!N10</f>
        <v>428.592663534655</v>
      </c>
      <c r="N72" s="75">
        <f>'CASH FLOW'!O10</f>
        <v>509.20027549343286</v>
      </c>
    </row>
    <row r="73" spans="2:16" ht="14.25" customHeight="1">
      <c r="B73" s="103" t="s">
        <v>214</v>
      </c>
      <c r="C73" s="193"/>
      <c r="D73" s="174">
        <f t="shared" ref="D73:N73" si="17">SUM(D70:D72)</f>
        <v>-1738.9800000000005</v>
      </c>
      <c r="E73" s="174">
        <f t="shared" si="17"/>
        <v>3195.9000000000015</v>
      </c>
      <c r="F73" s="174">
        <f t="shared" si="17"/>
        <v>-1168.4700000000021</v>
      </c>
      <c r="G73" s="174">
        <f t="shared" si="17"/>
        <v>-5607.8899999999976</v>
      </c>
      <c r="H73" s="174">
        <f t="shared" si="17"/>
        <v>18805.560000000001</v>
      </c>
      <c r="I73" s="175">
        <f t="shared" si="17"/>
        <v>-11875.000000000004</v>
      </c>
      <c r="J73" s="173">
        <f t="shared" si="17"/>
        <v>-755.94460842978833</v>
      </c>
      <c r="K73" s="174">
        <f t="shared" si="17"/>
        <v>-4429.3254281040045</v>
      </c>
      <c r="L73" s="174">
        <f t="shared" si="17"/>
        <v>-5169.2078496289196</v>
      </c>
      <c r="M73" s="174">
        <f t="shared" si="17"/>
        <v>-3513.5991520326052</v>
      </c>
      <c r="N73" s="175">
        <f t="shared" si="17"/>
        <v>-5006.9956157283304</v>
      </c>
      <c r="P73" s="24" t="s">
        <v>215</v>
      </c>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I15"/>
  <sheetViews>
    <sheetView showGridLines="0" zoomScaleNormal="100" workbookViewId="0">
      <selection activeCell="D19" sqref="D19"/>
    </sheetView>
  </sheetViews>
  <sheetFormatPr defaultColWidth="8.5546875" defaultRowHeight="14.4"/>
  <cols>
    <col min="2" max="2" width="27.33203125" customWidth="1"/>
    <col min="3" max="3" width="6.109375" customWidth="1"/>
    <col min="4" max="4" width="15.109375" customWidth="1"/>
    <col min="5" max="5" width="9.44140625" customWidth="1"/>
    <col min="6" max="6" width="17.21875" customWidth="1"/>
    <col min="7" max="7" width="13.77734375" customWidth="1"/>
    <col min="9" max="9" width="126.109375" customWidth="1"/>
  </cols>
  <sheetData>
    <row r="1" spans="2:9" ht="14.25" customHeight="1">
      <c r="I1" s="71" t="s">
        <v>4</v>
      </c>
    </row>
    <row r="2" spans="2:9" ht="14.25" customHeight="1">
      <c r="B2" s="7" t="s">
        <v>216</v>
      </c>
      <c r="C2" s="7"/>
      <c r="D2" s="7"/>
      <c r="E2" s="7"/>
      <c r="F2" s="7"/>
      <c r="G2" s="7"/>
      <c r="I2" s="71"/>
    </row>
    <row r="3" spans="2:9" ht="14.25" customHeight="1">
      <c r="B3" s="137" t="s">
        <v>217</v>
      </c>
      <c r="C3" s="137" t="s">
        <v>218</v>
      </c>
      <c r="D3" s="137" t="s">
        <v>219</v>
      </c>
      <c r="E3" s="137" t="s">
        <v>220</v>
      </c>
      <c r="F3" s="137" t="s">
        <v>221</v>
      </c>
      <c r="G3" s="105" t="s">
        <v>222</v>
      </c>
    </row>
    <row r="4" spans="2:9" ht="14.25" customHeight="1">
      <c r="B4" s="91" t="s">
        <v>223</v>
      </c>
      <c r="C4" s="91" t="s">
        <v>131</v>
      </c>
      <c r="D4" s="91">
        <v>1.38</v>
      </c>
      <c r="E4" s="91">
        <v>0</v>
      </c>
      <c r="F4" s="194">
        <v>0.25</v>
      </c>
      <c r="G4" s="24">
        <v>1.38</v>
      </c>
    </row>
    <row r="5" spans="2:9" ht="14.25" customHeight="1">
      <c r="B5" s="91" t="s">
        <v>224</v>
      </c>
      <c r="C5" s="91" t="s">
        <v>132</v>
      </c>
      <c r="D5" s="91">
        <v>1.2</v>
      </c>
      <c r="E5" s="91">
        <v>0</v>
      </c>
      <c r="F5" s="194">
        <v>0.25</v>
      </c>
      <c r="G5" s="24">
        <v>1.2</v>
      </c>
    </row>
    <row r="6" spans="2:9" ht="14.25" customHeight="1">
      <c r="B6" s="143" t="s">
        <v>225</v>
      </c>
      <c r="C6" s="143" t="s">
        <v>133</v>
      </c>
      <c r="D6" s="143">
        <v>1.74</v>
      </c>
      <c r="E6" s="143">
        <v>0</v>
      </c>
      <c r="F6" s="195">
        <v>0.25</v>
      </c>
      <c r="G6" s="23">
        <v>1.74</v>
      </c>
    </row>
    <row r="7" spans="2:9" ht="42.75" customHeight="1">
      <c r="B7" s="196" t="s">
        <v>226</v>
      </c>
      <c r="C7" s="73"/>
      <c r="D7" s="73"/>
      <c r="E7" s="73"/>
      <c r="F7" s="73"/>
      <c r="G7" s="197">
        <f>AVERAGE(G4:G6)</f>
        <v>1.4400000000000002</v>
      </c>
      <c r="I7" s="198" t="s">
        <v>227</v>
      </c>
    </row>
    <row r="8" spans="2:9" ht="57" customHeight="1">
      <c r="B8" s="21"/>
      <c r="C8" s="22"/>
      <c r="D8" s="22"/>
      <c r="E8" s="22"/>
      <c r="F8" s="22"/>
      <c r="G8" s="23"/>
      <c r="I8" s="198" t="s">
        <v>228</v>
      </c>
    </row>
    <row r="11" spans="2:9" ht="14.25" customHeight="1">
      <c r="B11" s="137" t="s">
        <v>217</v>
      </c>
      <c r="C11" s="137" t="s">
        <v>218</v>
      </c>
      <c r="D11" s="103" t="s">
        <v>153</v>
      </c>
      <c r="E11" s="137" t="s">
        <v>229</v>
      </c>
      <c r="F11" s="105" t="s">
        <v>230</v>
      </c>
    </row>
    <row r="12" spans="2:9" ht="14.25" customHeight="1">
      <c r="B12" s="91" t="s">
        <v>223</v>
      </c>
      <c r="C12" s="91" t="s">
        <v>131</v>
      </c>
      <c r="D12" s="112">
        <v>85818</v>
      </c>
      <c r="E12" s="199">
        <v>2638</v>
      </c>
      <c r="F12" s="57">
        <f>D12/E12</f>
        <v>32.531463229719485</v>
      </c>
      <c r="I12" s="6" t="s">
        <v>231</v>
      </c>
    </row>
    <row r="13" spans="2:9" ht="14.25" customHeight="1">
      <c r="B13" s="91" t="s">
        <v>224</v>
      </c>
      <c r="C13" s="91" t="s">
        <v>132</v>
      </c>
      <c r="D13" s="112">
        <v>39518</v>
      </c>
      <c r="E13" s="199">
        <v>892</v>
      </c>
      <c r="F13" s="57">
        <f>D13/E13</f>
        <v>44.302690582959642</v>
      </c>
      <c r="I13" s="6"/>
    </row>
    <row r="14" spans="2:9" ht="58.5" customHeight="1">
      <c r="B14" s="143" t="s">
        <v>225</v>
      </c>
      <c r="C14" s="143" t="s">
        <v>133</v>
      </c>
      <c r="D14" s="200">
        <v>32108</v>
      </c>
      <c r="E14" s="201">
        <v>699</v>
      </c>
      <c r="F14" s="202">
        <f>D14/E14</f>
        <v>45.934191702432045</v>
      </c>
      <c r="I14" s="6"/>
    </row>
    <row r="15" spans="2:9" ht="57" customHeight="1">
      <c r="B15" s="103" t="s">
        <v>232</v>
      </c>
      <c r="C15" s="104"/>
      <c r="D15" s="104"/>
      <c r="E15" s="104"/>
      <c r="F15" s="203">
        <f>MEDIAN(F12:F14)</f>
        <v>44.302690582959642</v>
      </c>
      <c r="I15" s="90" t="s">
        <v>233</v>
      </c>
    </row>
  </sheetData>
  <mergeCells count="2">
    <mergeCell ref="B2:G2"/>
    <mergeCell ref="I12:I14"/>
  </mergeCells>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Q8"/>
  <sheetViews>
    <sheetView showGridLines="0" tabSelected="1" zoomScaleNormal="100" workbookViewId="0">
      <selection activeCell="F18" sqref="F18"/>
    </sheetView>
  </sheetViews>
  <sheetFormatPr defaultColWidth="6.6640625" defaultRowHeight="14.4"/>
  <cols>
    <col min="1" max="1" width="5.21875" customWidth="1"/>
    <col min="2" max="2" width="32.21875" customWidth="1"/>
    <col min="3" max="3" width="9.44140625" customWidth="1"/>
    <col min="4" max="4" width="10.109375" customWidth="1"/>
    <col min="5" max="5" width="9.44140625" customWidth="1"/>
    <col min="6" max="6" width="10.109375" customWidth="1"/>
    <col min="7" max="7" width="10.44140625" customWidth="1"/>
    <col min="8" max="9" width="11.109375" customWidth="1"/>
    <col min="10" max="14" width="10.44140625" customWidth="1"/>
    <col min="16" max="16" width="54.21875" customWidth="1"/>
    <col min="17" max="17" width="255.6640625" customWidth="1"/>
  </cols>
  <sheetData>
    <row r="2" spans="2:17" ht="14.25" customHeight="1">
      <c r="B2" s="11" t="s">
        <v>0</v>
      </c>
      <c r="C2" s="14" t="s">
        <v>1</v>
      </c>
      <c r="D2" s="15" t="s">
        <v>1</v>
      </c>
      <c r="E2" s="15" t="s">
        <v>1</v>
      </c>
      <c r="F2" s="15" t="s">
        <v>1</v>
      </c>
      <c r="G2" s="15" t="s">
        <v>1</v>
      </c>
      <c r="H2" s="15" t="s">
        <v>1</v>
      </c>
      <c r="I2" s="16" t="s">
        <v>1</v>
      </c>
      <c r="J2" s="100" t="s">
        <v>2</v>
      </c>
      <c r="K2" s="17" t="s">
        <v>2</v>
      </c>
      <c r="L2" s="17" t="s">
        <v>2</v>
      </c>
      <c r="M2" s="17" t="s">
        <v>2</v>
      </c>
      <c r="N2" s="18" t="s">
        <v>2</v>
      </c>
      <c r="P2" s="166" t="s">
        <v>3</v>
      </c>
      <c r="Q2" s="71" t="s">
        <v>4</v>
      </c>
    </row>
    <row r="3" spans="2:17" ht="14.25" customHeight="1">
      <c r="B3" s="11"/>
      <c r="C3" s="103">
        <v>2019</v>
      </c>
      <c r="D3" s="104">
        <v>2020</v>
      </c>
      <c r="E3" s="104">
        <v>2021</v>
      </c>
      <c r="F3" s="104">
        <v>2022</v>
      </c>
      <c r="G3" s="104">
        <v>2023</v>
      </c>
      <c r="H3" s="104">
        <v>2024</v>
      </c>
      <c r="I3" s="105">
        <v>2025</v>
      </c>
      <c r="J3" s="103">
        <v>2026</v>
      </c>
      <c r="K3" s="104">
        <v>2027</v>
      </c>
      <c r="L3" s="104">
        <v>2028</v>
      </c>
      <c r="M3" s="104">
        <v>2029</v>
      </c>
      <c r="N3" s="105">
        <v>2030</v>
      </c>
      <c r="P3" s="24"/>
    </row>
    <row r="4" spans="2:17" ht="14.25" customHeight="1">
      <c r="B4" s="92" t="s">
        <v>135</v>
      </c>
      <c r="C4" s="112">
        <f>'INCOME STATEMENT'!C33</f>
        <v>1708.04</v>
      </c>
      <c r="D4" s="63">
        <f>'INCOME STATEMENT'!D33</f>
        <v>1884.78</v>
      </c>
      <c r="E4" s="63">
        <f>'INCOME STATEMENT'!E33</f>
        <v>3574.42</v>
      </c>
      <c r="F4" s="63">
        <f>'INCOME STATEMENT'!F33</f>
        <v>5063.3999999999996</v>
      </c>
      <c r="G4" s="63">
        <f>'INCOME STATEMENT'!G33</f>
        <v>7355.1</v>
      </c>
      <c r="H4" s="63">
        <f>'INCOME STATEMENT'!H33</f>
        <v>8305.2999999999993</v>
      </c>
      <c r="I4" s="75">
        <f>'INCOME STATEMENT'!I33</f>
        <v>11221.84</v>
      </c>
      <c r="J4" s="112">
        <f>'INCOME STATEMENT'!J33</f>
        <v>13423.083153449999</v>
      </c>
      <c r="K4" s="63">
        <f>'INCOME STATEMENT'!K33</f>
        <v>16113.333304810953</v>
      </c>
      <c r="L4" s="63">
        <f>'INCOME STATEMENT'!L33</f>
        <v>19148.445523875169</v>
      </c>
      <c r="M4" s="63">
        <f>'INCOME STATEMENT'!M33</f>
        <v>22526.806393483006</v>
      </c>
      <c r="N4" s="75">
        <f>'INCOME STATEMENT'!N33</f>
        <v>26239.584706286718</v>
      </c>
      <c r="P4" s="24"/>
    </row>
    <row r="5" spans="2:17" ht="14.25" customHeight="1">
      <c r="B5" s="91" t="s">
        <v>23</v>
      </c>
      <c r="C5" s="112">
        <f>'INCOME STATEMENT'!C19</f>
        <v>142.02000000000001</v>
      </c>
      <c r="D5" s="63">
        <f>'INCOME STATEMENT'!D19</f>
        <v>180.78</v>
      </c>
      <c r="E5" s="63">
        <f>'INCOME STATEMENT'!E19</f>
        <v>226.01</v>
      </c>
      <c r="F5" s="63">
        <f>'INCOME STATEMENT'!F19</f>
        <v>338</v>
      </c>
      <c r="G5" s="63">
        <f>'INCOME STATEMENT'!G19</f>
        <v>384</v>
      </c>
      <c r="H5" s="63">
        <f>'INCOME STATEMENT'!H19</f>
        <v>439</v>
      </c>
      <c r="I5" s="75">
        <f>'INCOME STATEMENT'!I19</f>
        <v>546.59</v>
      </c>
      <c r="J5" s="112">
        <f>'INCOME STATEMENT'!J19</f>
        <v>737.83613639999999</v>
      </c>
      <c r="K5" s="63">
        <f>'INCOME STATEMENT'!K19</f>
        <v>915.00711528599993</v>
      </c>
      <c r="L5" s="63">
        <f>'INCOME STATEMENT'!L19</f>
        <v>1112.3045623872599</v>
      </c>
      <c r="M5" s="63">
        <f>'INCOME STATEMENT'!M19</f>
        <v>1330.3052731566049</v>
      </c>
      <c r="N5" s="75">
        <f>'INCOME STATEMENT'!N19</f>
        <v>1568.1784737403516</v>
      </c>
      <c r="P5" s="24"/>
    </row>
    <row r="6" spans="2:17" ht="14.25" customHeight="1">
      <c r="B6" s="91" t="s">
        <v>214</v>
      </c>
      <c r="C6" s="192"/>
      <c r="D6" s="63">
        <f>'FORCAST SCHEDULES'!D73</f>
        <v>-1738.9800000000005</v>
      </c>
      <c r="E6" s="63">
        <f>'FORCAST SCHEDULES'!E73</f>
        <v>3195.9000000000015</v>
      </c>
      <c r="F6" s="63">
        <f>'FORCAST SCHEDULES'!F73</f>
        <v>-1168.4700000000021</v>
      </c>
      <c r="G6" s="63">
        <f>'FORCAST SCHEDULES'!G73</f>
        <v>-5607.8899999999976</v>
      </c>
      <c r="H6" s="63">
        <f>'FORCAST SCHEDULES'!H73</f>
        <v>18805.560000000001</v>
      </c>
      <c r="I6" s="75">
        <f>'FORCAST SCHEDULES'!I73</f>
        <v>-11875.000000000004</v>
      </c>
      <c r="J6" s="112">
        <f>'FORCAST SCHEDULES'!J73</f>
        <v>-755.94460842978833</v>
      </c>
      <c r="K6" s="63">
        <f>'FORCAST SCHEDULES'!K73</f>
        <v>-4429.3254281040045</v>
      </c>
      <c r="L6" s="63">
        <f>'FORCAST SCHEDULES'!L73</f>
        <v>-5169.2078496289196</v>
      </c>
      <c r="M6" s="63">
        <f>'FORCAST SCHEDULES'!M73</f>
        <v>-3513.5991520326052</v>
      </c>
      <c r="N6" s="75">
        <f>'FORCAST SCHEDULES'!N73</f>
        <v>-5006.9956157283304</v>
      </c>
      <c r="P6" s="24"/>
    </row>
    <row r="7" spans="2:17" ht="14.25" customHeight="1">
      <c r="B7" s="91" t="s">
        <v>56</v>
      </c>
      <c r="C7" s="192"/>
      <c r="D7" s="63">
        <f>'CASH FLOW'!E16</f>
        <v>166.83999999999995</v>
      </c>
      <c r="E7" s="63">
        <f>'CASH FLOW'!F16</f>
        <v>390.0200000000001</v>
      </c>
      <c r="F7" s="63">
        <f>'CASH FLOW'!G16</f>
        <v>686.36</v>
      </c>
      <c r="G7" s="63">
        <f>'CASH FLOW'!H16</f>
        <v>300.52</v>
      </c>
      <c r="H7" s="63">
        <f>'CASH FLOW'!I16</f>
        <v>476.94000000000005</v>
      </c>
      <c r="I7" s="75">
        <f>'CASH FLOW'!J16</f>
        <v>1103.08</v>
      </c>
      <c r="J7" s="112">
        <f>'CASH FLOW'!K16</f>
        <v>1161.4741599999995</v>
      </c>
      <c r="K7" s="63">
        <f>'CASH FLOW'!L16</f>
        <v>1387.9616212000001</v>
      </c>
      <c r="L7" s="63">
        <f>'CASH FLOW'!M16</f>
        <v>1637.7947130160001</v>
      </c>
      <c r="M7" s="63">
        <f>'CASH FLOW'!N16</f>
        <v>1908.03084066364</v>
      </c>
      <c r="N7" s="75">
        <f>'CASH FLOW'!O16</f>
        <v>2194.2354667631862</v>
      </c>
      <c r="O7" s="63"/>
      <c r="P7" s="24"/>
    </row>
    <row r="8" spans="2:17" ht="28.5" customHeight="1">
      <c r="B8" s="137" t="s">
        <v>234</v>
      </c>
      <c r="C8" s="193"/>
      <c r="D8" s="174">
        <f t="shared" ref="D8:N8" si="0">D4+D5-D6-D7</f>
        <v>3637.7000000000003</v>
      </c>
      <c r="E8" s="174">
        <f t="shared" si="0"/>
        <v>214.50999999999874</v>
      </c>
      <c r="F8" s="174">
        <f t="shared" si="0"/>
        <v>5883.510000000002</v>
      </c>
      <c r="G8" s="174">
        <f t="shared" si="0"/>
        <v>13046.469999999998</v>
      </c>
      <c r="H8" s="174">
        <f t="shared" si="0"/>
        <v>-10538.200000000003</v>
      </c>
      <c r="I8" s="175">
        <f t="shared" si="0"/>
        <v>22540.350000000006</v>
      </c>
      <c r="J8" s="173">
        <f t="shared" si="0"/>
        <v>13755.389738279788</v>
      </c>
      <c r="K8" s="174">
        <f t="shared" si="0"/>
        <v>20069.704227000959</v>
      </c>
      <c r="L8" s="174">
        <f t="shared" si="0"/>
        <v>23792.163222875348</v>
      </c>
      <c r="M8" s="174">
        <f t="shared" si="0"/>
        <v>25462.679978008578</v>
      </c>
      <c r="N8" s="175">
        <f t="shared" si="0"/>
        <v>30620.523328992211</v>
      </c>
      <c r="P8" s="24" t="s">
        <v>235</v>
      </c>
      <c r="Q8" s="172" t="s">
        <v>236</v>
      </c>
    </row>
  </sheetData>
  <mergeCells count="1">
    <mergeCell ref="B2:B3"/>
  </mergeCell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M87"/>
  <sheetViews>
    <sheetView showGridLines="0" topLeftCell="A74" zoomScaleNormal="100" workbookViewId="0">
      <selection activeCell="E90" sqref="E90"/>
    </sheetView>
  </sheetViews>
  <sheetFormatPr defaultColWidth="8.5546875" defaultRowHeight="14.4"/>
  <cols>
    <col min="2" max="2" width="29.44140625" customWidth="1"/>
    <col min="3" max="3" width="13.109375" customWidth="1"/>
    <col min="4" max="4" width="21.109375" customWidth="1"/>
    <col min="5" max="5" width="25" customWidth="1"/>
    <col min="6" max="6" width="13.77734375" customWidth="1"/>
    <col min="7" max="7" width="15" customWidth="1"/>
    <col min="8" max="8" width="13.21875" customWidth="1"/>
    <col min="9" max="9" width="36.21875" customWidth="1"/>
    <col min="10" max="10" width="48.33203125" customWidth="1"/>
    <col min="11" max="11" width="152.5546875" customWidth="1"/>
  </cols>
  <sheetData>
    <row r="2" spans="2:11" ht="14.25" customHeight="1">
      <c r="B2" s="7" t="s">
        <v>237</v>
      </c>
      <c r="C2" s="7"/>
    </row>
    <row r="3" spans="2:11" ht="14.25" customHeight="1">
      <c r="B3" s="204" t="s">
        <v>238</v>
      </c>
      <c r="C3" s="204" t="s">
        <v>239</v>
      </c>
      <c r="K3" s="205" t="s">
        <v>4</v>
      </c>
    </row>
    <row r="4" spans="2:11" ht="57" customHeight="1">
      <c r="B4" s="153" t="s">
        <v>240</v>
      </c>
      <c r="C4" s="171">
        <v>6.4899999999999999E-2</v>
      </c>
      <c r="D4" s="169"/>
      <c r="E4" s="169"/>
      <c r="K4" s="162" t="s">
        <v>241</v>
      </c>
    </row>
    <row r="5" spans="2:11" ht="57" customHeight="1">
      <c r="B5" s="153" t="s">
        <v>242</v>
      </c>
      <c r="C5" s="171">
        <v>5.1499999999999997E-2</v>
      </c>
      <c r="D5" s="169"/>
      <c r="E5" s="169"/>
      <c r="K5" s="162" t="s">
        <v>243</v>
      </c>
    </row>
    <row r="6" spans="2:11" ht="111" customHeight="1">
      <c r="B6" s="153" t="s">
        <v>244</v>
      </c>
      <c r="C6" s="206">
        <f>'BETA AND EV_MULTIPLE CALCULATIO'!G7</f>
        <v>1.4400000000000002</v>
      </c>
      <c r="D6" s="169"/>
      <c r="E6" s="169"/>
      <c r="K6" s="207" t="s">
        <v>245</v>
      </c>
    </row>
    <row r="7" spans="2:11" ht="28.5" customHeight="1">
      <c r="B7" s="153" t="s">
        <v>246</v>
      </c>
      <c r="C7" s="171">
        <f>C4+C6*C5</f>
        <v>0.13906000000000002</v>
      </c>
      <c r="D7" s="169"/>
      <c r="E7" s="169"/>
      <c r="K7" s="207" t="s">
        <v>247</v>
      </c>
    </row>
    <row r="8" spans="2:11" ht="15" customHeight="1">
      <c r="B8" s="91"/>
      <c r="C8" s="24"/>
      <c r="K8" s="208"/>
    </row>
    <row r="9" spans="2:11" ht="14.25" customHeight="1">
      <c r="B9" s="209" t="s">
        <v>248</v>
      </c>
      <c r="C9" s="210" t="s">
        <v>239</v>
      </c>
      <c r="K9" s="211" t="s">
        <v>4</v>
      </c>
    </row>
    <row r="10" spans="2:11" ht="49.5" customHeight="1">
      <c r="B10" s="153" t="s">
        <v>249</v>
      </c>
      <c r="C10" s="171">
        <v>0</v>
      </c>
      <c r="D10" s="169"/>
      <c r="E10" s="169"/>
      <c r="K10" s="162" t="s">
        <v>250</v>
      </c>
    </row>
    <row r="11" spans="2:11" ht="21.75" customHeight="1">
      <c r="B11" s="153" t="s">
        <v>221</v>
      </c>
      <c r="C11" s="171">
        <v>0.25</v>
      </c>
      <c r="D11" s="169"/>
      <c r="E11" s="169"/>
      <c r="K11" s="162" t="s">
        <v>251</v>
      </c>
    </row>
    <row r="12" spans="2:11" ht="42.75" customHeight="1">
      <c r="B12" s="153" t="s">
        <v>252</v>
      </c>
      <c r="C12" s="171">
        <v>0</v>
      </c>
      <c r="D12" s="169"/>
      <c r="E12" s="169"/>
      <c r="K12" s="162" t="s">
        <v>253</v>
      </c>
    </row>
    <row r="13" spans="2:11" ht="14.25" customHeight="1">
      <c r="B13" s="91"/>
      <c r="C13" s="24"/>
      <c r="K13" s="208"/>
    </row>
    <row r="14" spans="2:11" ht="14.25" customHeight="1">
      <c r="B14" s="209" t="s">
        <v>254</v>
      </c>
      <c r="C14" s="210" t="s">
        <v>239</v>
      </c>
      <c r="K14" s="211" t="s">
        <v>4</v>
      </c>
    </row>
    <row r="15" spans="2:11" ht="28.5" customHeight="1">
      <c r="B15" s="153" t="s">
        <v>255</v>
      </c>
      <c r="C15" s="212">
        <f>'BALANCE SHEET'!I7</f>
        <v>30353.33</v>
      </c>
      <c r="D15" s="169"/>
      <c r="E15" s="169"/>
      <c r="K15" s="162" t="s">
        <v>256</v>
      </c>
    </row>
    <row r="16" spans="2:11" ht="28.5" customHeight="1">
      <c r="B16" s="153" t="s">
        <v>257</v>
      </c>
      <c r="C16" s="212">
        <v>0</v>
      </c>
      <c r="D16" s="169"/>
      <c r="E16" s="169"/>
      <c r="K16" s="162" t="s">
        <v>258</v>
      </c>
    </row>
    <row r="17" spans="2:11" ht="28.5" customHeight="1">
      <c r="B17" s="153" t="s">
        <v>259</v>
      </c>
      <c r="C17" s="212">
        <f>C15+C16</f>
        <v>30353.33</v>
      </c>
      <c r="D17" s="169"/>
      <c r="E17" s="169"/>
      <c r="K17" s="162" t="s">
        <v>260</v>
      </c>
    </row>
    <row r="18" spans="2:11" ht="14.25" customHeight="1">
      <c r="B18" s="153" t="s">
        <v>261</v>
      </c>
      <c r="C18" s="213">
        <f>C15/C17</f>
        <v>1</v>
      </c>
      <c r="D18" s="169"/>
      <c r="E18" s="169"/>
      <c r="K18" s="5" t="s">
        <v>262</v>
      </c>
    </row>
    <row r="19" spans="2:11" ht="14.25" customHeight="1">
      <c r="B19" s="153" t="s">
        <v>263</v>
      </c>
      <c r="C19" s="213">
        <f>C16/C17</f>
        <v>0</v>
      </c>
      <c r="D19" s="169"/>
      <c r="E19" s="169"/>
      <c r="K19" s="5"/>
    </row>
    <row r="20" spans="2:11" ht="14.25" customHeight="1">
      <c r="B20" s="153"/>
      <c r="C20" s="214"/>
      <c r="D20" s="169"/>
      <c r="E20" s="169"/>
      <c r="K20" s="162"/>
    </row>
    <row r="21" spans="2:11" ht="14.25" customHeight="1">
      <c r="B21" s="209" t="s">
        <v>264</v>
      </c>
      <c r="C21" s="210" t="s">
        <v>239</v>
      </c>
      <c r="K21" s="162"/>
    </row>
    <row r="22" spans="2:11" ht="60" customHeight="1">
      <c r="B22" s="143" t="s">
        <v>264</v>
      </c>
      <c r="C22" s="146">
        <f>C18*C7</f>
        <v>0.13906000000000002</v>
      </c>
      <c r="K22" s="215" t="s">
        <v>265</v>
      </c>
    </row>
    <row r="25" spans="2:11" ht="14.25" customHeight="1">
      <c r="B25" s="7" t="s">
        <v>266</v>
      </c>
      <c r="C25" s="7"/>
      <c r="D25" s="7"/>
      <c r="E25" s="7"/>
      <c r="F25" s="7"/>
      <c r="G25" s="7"/>
      <c r="H25" s="216"/>
    </row>
    <row r="26" spans="2:11" ht="14.25" customHeight="1">
      <c r="B26" s="92"/>
      <c r="C26" s="17" t="s">
        <v>2</v>
      </c>
      <c r="D26" s="17" t="s">
        <v>2</v>
      </c>
      <c r="E26" s="17" t="s">
        <v>2</v>
      </c>
      <c r="F26" s="17" t="s">
        <v>2</v>
      </c>
      <c r="G26" s="18" t="s">
        <v>2</v>
      </c>
      <c r="H26" s="101"/>
      <c r="K26" s="217" t="s">
        <v>4</v>
      </c>
    </row>
    <row r="27" spans="2:11" ht="14.25" customHeight="1">
      <c r="B27" s="143" t="s">
        <v>0</v>
      </c>
      <c r="C27" s="73">
        <v>2026</v>
      </c>
      <c r="D27" s="73">
        <v>2027</v>
      </c>
      <c r="E27" s="73">
        <v>2028</v>
      </c>
      <c r="F27" s="73">
        <v>2029</v>
      </c>
      <c r="G27" s="74">
        <v>2030</v>
      </c>
    </row>
    <row r="28" spans="2:11" ht="14.25" customHeight="1">
      <c r="B28" s="72" t="s">
        <v>267</v>
      </c>
      <c r="C28" s="218">
        <f>'INCOME STATEMENT'!J20</f>
        <v>15205.470770600001</v>
      </c>
      <c r="D28" s="219">
        <f>'INCOME STATEMENT'!K20</f>
        <v>18137.244638579003</v>
      </c>
      <c r="E28" s="219">
        <f>'INCOME STATEMENT'!L20</f>
        <v>21369.35250717344</v>
      </c>
      <c r="F28" s="219">
        <f>'INCOME STATEMENT'!M20</f>
        <v>24860.825212881613</v>
      </c>
      <c r="G28" s="220">
        <f>'INCOME STATEMENT'!N20</f>
        <v>28551.621585203597</v>
      </c>
      <c r="H28" s="221"/>
      <c r="K28" s="4" t="s">
        <v>268</v>
      </c>
    </row>
    <row r="29" spans="2:11" ht="14.25" customHeight="1">
      <c r="B29" s="77" t="s">
        <v>269</v>
      </c>
      <c r="C29" s="223">
        <f>'INCOME STATEMENT'!J30</f>
        <v>0.25</v>
      </c>
      <c r="D29" s="224">
        <f>'INCOME STATEMENT'!K30</f>
        <v>0.25</v>
      </c>
      <c r="E29" s="224">
        <f>'INCOME STATEMENT'!L30</f>
        <v>0.25</v>
      </c>
      <c r="F29" s="224">
        <f>'INCOME STATEMENT'!M30</f>
        <v>0.25</v>
      </c>
      <c r="G29" s="53">
        <f>'INCOME STATEMENT'!N30</f>
        <v>0.25</v>
      </c>
      <c r="H29" s="224"/>
      <c r="K29" s="4"/>
    </row>
    <row r="30" spans="2:11" ht="26.25" customHeight="1">
      <c r="B30" s="77" t="s">
        <v>270</v>
      </c>
      <c r="C30" s="225">
        <f>C28*C29</f>
        <v>3801.3676926500002</v>
      </c>
      <c r="D30" s="221">
        <f>D28*D29</f>
        <v>4534.3111596447507</v>
      </c>
      <c r="E30" s="221">
        <f>E28*E29</f>
        <v>5342.3381267933601</v>
      </c>
      <c r="F30" s="221">
        <f>F28*F29</f>
        <v>6215.2063032204032</v>
      </c>
      <c r="G30" s="226">
        <f>G28*G29</f>
        <v>7137.9053963008992</v>
      </c>
      <c r="H30" s="221"/>
      <c r="K30" t="s">
        <v>271</v>
      </c>
    </row>
    <row r="31" spans="2:11" ht="39.75" customHeight="1">
      <c r="B31" s="77" t="s">
        <v>272</v>
      </c>
      <c r="C31" s="225">
        <f>C28-C30</f>
        <v>11404.10307795</v>
      </c>
      <c r="D31" s="221">
        <f>D28-D30</f>
        <v>13602.933478934252</v>
      </c>
      <c r="E31" s="221">
        <f>E28-E30</f>
        <v>16027.01438038008</v>
      </c>
      <c r="F31" s="221">
        <f>F28-F30</f>
        <v>18645.618909661211</v>
      </c>
      <c r="G31" s="226">
        <f>G28-G30</f>
        <v>21413.716188902697</v>
      </c>
      <c r="H31" s="221"/>
      <c r="K31" s="90" t="s">
        <v>273</v>
      </c>
    </row>
    <row r="32" spans="2:11" ht="33.75" customHeight="1">
      <c r="B32" s="77" t="s">
        <v>23</v>
      </c>
      <c r="C32" s="225">
        <f>'INCOME STATEMENT'!J19</f>
        <v>737.83613639999999</v>
      </c>
      <c r="D32" s="221">
        <f>'INCOME STATEMENT'!K19</f>
        <v>915.00711528599993</v>
      </c>
      <c r="E32" s="221">
        <f>'INCOME STATEMENT'!L19</f>
        <v>1112.3045623872599</v>
      </c>
      <c r="F32" s="221">
        <f>'INCOME STATEMENT'!M19</f>
        <v>1330.3052731566049</v>
      </c>
      <c r="G32" s="226">
        <f>'INCOME STATEMENT'!N19</f>
        <v>1568.1784737403516</v>
      </c>
      <c r="H32" s="221"/>
      <c r="K32" s="222" t="s">
        <v>274</v>
      </c>
    </row>
    <row r="33" spans="2:11" ht="37.5" customHeight="1">
      <c r="B33" s="77" t="s">
        <v>275</v>
      </c>
      <c r="C33" s="225">
        <f>'FORCAST SCHEDULES'!J5</f>
        <v>1161.47416</v>
      </c>
      <c r="D33" s="221">
        <f>'FORCAST SCHEDULES'!K5</f>
        <v>1387.9616212000003</v>
      </c>
      <c r="E33" s="221">
        <f>'FORCAST SCHEDULES'!L5</f>
        <v>1637.7947130160003</v>
      </c>
      <c r="F33" s="221">
        <f>'FORCAST SCHEDULES'!M5</f>
        <v>1908.0308406636404</v>
      </c>
      <c r="G33" s="226">
        <f>'FORCAST SCHEDULES'!N5</f>
        <v>2194.2354667631862</v>
      </c>
      <c r="H33" s="221"/>
      <c r="K33" s="222" t="s">
        <v>276</v>
      </c>
    </row>
    <row r="34" spans="2:11" ht="37.5" customHeight="1">
      <c r="B34" s="77" t="s">
        <v>277</v>
      </c>
      <c r="C34" s="225">
        <f>'FORCAST SCHEDULES'!J73</f>
        <v>-755.94460842978833</v>
      </c>
      <c r="D34" s="221">
        <f>'FORCAST SCHEDULES'!K73</f>
        <v>-4429.3254281040045</v>
      </c>
      <c r="E34" s="221">
        <f>'FORCAST SCHEDULES'!L73</f>
        <v>-5169.2078496289196</v>
      </c>
      <c r="F34" s="221">
        <f>'FORCAST SCHEDULES'!M73</f>
        <v>-3513.5991520326052</v>
      </c>
      <c r="G34" s="226">
        <f>'FORCAST SCHEDULES'!N73</f>
        <v>-5006.9956157283304</v>
      </c>
      <c r="H34" s="221"/>
      <c r="K34" s="222" t="s">
        <v>278</v>
      </c>
    </row>
    <row r="35" spans="2:11" ht="14.25" customHeight="1">
      <c r="B35" s="103" t="s">
        <v>266</v>
      </c>
      <c r="C35" s="227">
        <f>C31+C32-C33-C34</f>
        <v>11736.409662779788</v>
      </c>
      <c r="D35" s="228">
        <f>D31+D32-D33-D34</f>
        <v>17559.304401124256</v>
      </c>
      <c r="E35" s="228">
        <f>E31+E32-E33-E34</f>
        <v>20670.732079380257</v>
      </c>
      <c r="F35" s="228">
        <f>F31+F32-F33-F34</f>
        <v>21581.492494186783</v>
      </c>
      <c r="G35" s="229">
        <f>G31+G32-G33-G34</f>
        <v>25794.65481160819</v>
      </c>
      <c r="H35" s="221"/>
      <c r="K35" t="s">
        <v>279</v>
      </c>
    </row>
    <row r="38" spans="2:11" ht="14.25" customHeight="1">
      <c r="B38" s="7" t="s">
        <v>280</v>
      </c>
      <c r="C38" s="7"/>
      <c r="D38" s="7"/>
      <c r="E38" s="7"/>
      <c r="F38" s="7"/>
      <c r="G38" s="7"/>
      <c r="H38" s="216"/>
      <c r="K38" s="217" t="s">
        <v>4</v>
      </c>
    </row>
    <row r="39" spans="2:11" ht="14.25" customHeight="1">
      <c r="B39" s="137" t="s">
        <v>281</v>
      </c>
      <c r="C39" s="137" t="s">
        <v>282</v>
      </c>
      <c r="D39" s="10" t="s">
        <v>283</v>
      </c>
      <c r="E39" s="10"/>
      <c r="F39" s="10"/>
      <c r="G39" s="10"/>
      <c r="H39" s="230"/>
    </row>
    <row r="40" spans="2:11" ht="14.25" customHeight="1">
      <c r="B40" s="91" t="s">
        <v>284</v>
      </c>
      <c r="C40" s="231">
        <f>G35</f>
        <v>25794.65481160819</v>
      </c>
      <c r="D40" s="12" t="s">
        <v>285</v>
      </c>
      <c r="E40" s="12"/>
      <c r="F40" s="12"/>
      <c r="G40" s="12"/>
      <c r="H40" s="230"/>
    </row>
    <row r="41" spans="2:11" ht="14.25" customHeight="1">
      <c r="B41" s="91" t="s">
        <v>286</v>
      </c>
      <c r="C41" s="194">
        <v>0.06</v>
      </c>
      <c r="D41" s="12"/>
      <c r="E41" s="12"/>
      <c r="F41" s="12"/>
      <c r="G41" s="12"/>
      <c r="H41" s="230"/>
    </row>
    <row r="42" spans="2:11" ht="42.75" customHeight="1">
      <c r="B42" s="91" t="s">
        <v>264</v>
      </c>
      <c r="C42" s="142">
        <f>C22</f>
        <v>0.13906000000000002</v>
      </c>
      <c r="D42" s="12"/>
      <c r="E42" s="12"/>
      <c r="F42" s="12"/>
      <c r="G42" s="12"/>
      <c r="H42" s="230"/>
      <c r="K42" s="198" t="s">
        <v>287</v>
      </c>
    </row>
    <row r="43" spans="2:11" ht="28.5" customHeight="1">
      <c r="B43" s="143" t="s">
        <v>288</v>
      </c>
      <c r="C43" s="232">
        <f>(C40*(1+C41))/(C42-C41)</f>
        <v>345842.82950043865</v>
      </c>
      <c r="D43" s="12"/>
      <c r="E43" s="12"/>
      <c r="F43" s="12"/>
      <c r="G43" s="12"/>
      <c r="H43" s="230"/>
      <c r="K43" s="222" t="s">
        <v>289</v>
      </c>
    </row>
    <row r="46" spans="2:11" ht="14.25" customHeight="1">
      <c r="B46" s="7" t="s">
        <v>290</v>
      </c>
      <c r="C46" s="7"/>
      <c r="D46" s="7"/>
      <c r="E46" s="7"/>
      <c r="F46" s="7"/>
      <c r="G46" s="7"/>
      <c r="H46" s="216"/>
      <c r="K46" s="217" t="s">
        <v>4</v>
      </c>
    </row>
    <row r="47" spans="2:11" ht="14.25" customHeight="1">
      <c r="B47" s="137" t="s">
        <v>281</v>
      </c>
      <c r="C47" s="137" t="s">
        <v>282</v>
      </c>
      <c r="D47" s="10" t="s">
        <v>283</v>
      </c>
      <c r="E47" s="10"/>
      <c r="F47" s="10"/>
      <c r="G47" s="10"/>
      <c r="H47" s="230"/>
    </row>
    <row r="48" spans="2:11" ht="14.25" customHeight="1">
      <c r="B48" s="92" t="s">
        <v>291</v>
      </c>
      <c r="C48" s="231">
        <f>'INCOME STATEMENT'!N15</f>
        <v>30119.800058943947</v>
      </c>
      <c r="D48" s="12" t="s">
        <v>292</v>
      </c>
      <c r="E48" s="12"/>
      <c r="F48" s="12"/>
      <c r="G48" s="12"/>
      <c r="H48" s="230"/>
    </row>
    <row r="49" spans="2:13" ht="14.25" customHeight="1">
      <c r="B49" s="91" t="s">
        <v>293</v>
      </c>
      <c r="C49" s="233">
        <f>'BETA AND EV_MULTIPLE CALCULATIO'!F15</f>
        <v>44.302690582959642</v>
      </c>
      <c r="D49" s="12"/>
      <c r="E49" s="12"/>
      <c r="F49" s="12"/>
      <c r="G49" s="12"/>
      <c r="H49" s="230"/>
      <c r="K49" s="234" t="s">
        <v>294</v>
      </c>
    </row>
    <row r="50" spans="2:13" ht="14.25" customHeight="1">
      <c r="B50" s="143" t="s">
        <v>288</v>
      </c>
      <c r="C50" s="232">
        <f>C48*C49</f>
        <v>1334388.1824320033</v>
      </c>
      <c r="D50" s="12"/>
      <c r="E50" s="12"/>
      <c r="F50" s="12"/>
      <c r="G50" s="12"/>
      <c r="H50" s="230"/>
      <c r="K50" s="222"/>
    </row>
    <row r="53" spans="2:13" ht="14.25" customHeight="1">
      <c r="B53" s="7" t="s">
        <v>295</v>
      </c>
      <c r="C53" s="7"/>
      <c r="D53" s="7"/>
      <c r="E53" s="7"/>
      <c r="F53" s="7"/>
      <c r="G53" s="7"/>
      <c r="H53" s="7"/>
      <c r="I53" s="7"/>
      <c r="J53" s="216"/>
    </row>
    <row r="54" spans="2:13" ht="14.25" customHeight="1">
      <c r="B54" s="12" t="s">
        <v>0</v>
      </c>
      <c r="C54" s="17" t="s">
        <v>2</v>
      </c>
      <c r="D54" s="17" t="s">
        <v>2</v>
      </c>
      <c r="E54" s="17" t="s">
        <v>2</v>
      </c>
      <c r="F54" s="17" t="s">
        <v>2</v>
      </c>
      <c r="G54" s="18" t="s">
        <v>2</v>
      </c>
      <c r="H54" s="17" t="s">
        <v>296</v>
      </c>
      <c r="I54" s="137" t="s">
        <v>283</v>
      </c>
      <c r="L54" s="73"/>
      <c r="M54" s="74"/>
    </row>
    <row r="55" spans="2:13" ht="14.25" customHeight="1">
      <c r="B55" s="12"/>
      <c r="C55" s="73">
        <v>2026</v>
      </c>
      <c r="D55" s="73">
        <v>2027</v>
      </c>
      <c r="E55" s="73">
        <v>2028</v>
      </c>
      <c r="F55" s="73">
        <v>2029</v>
      </c>
      <c r="G55" s="74">
        <v>2030</v>
      </c>
      <c r="H55" s="92"/>
      <c r="I55" s="91"/>
    </row>
    <row r="56" spans="2:13" ht="14.25" customHeight="1">
      <c r="B56" s="92" t="s">
        <v>297</v>
      </c>
      <c r="C56" s="218">
        <f>C35</f>
        <v>11736.409662779788</v>
      </c>
      <c r="D56" s="219">
        <f>D35</f>
        <v>17559.304401124256</v>
      </c>
      <c r="E56" s="219">
        <f>E35</f>
        <v>20670.732079380257</v>
      </c>
      <c r="F56" s="219">
        <f>F35</f>
        <v>21581.492494186783</v>
      </c>
      <c r="G56" s="220">
        <f>G35</f>
        <v>25794.65481160819</v>
      </c>
      <c r="H56" s="231"/>
      <c r="I56" s="91"/>
    </row>
    <row r="57" spans="2:13" ht="14.25" customHeight="1">
      <c r="B57" s="91" t="s">
        <v>298</v>
      </c>
      <c r="C57" s="235">
        <f>1/(1+$C$22)^1</f>
        <v>0.87791687882991243</v>
      </c>
      <c r="D57" s="236">
        <f>1/(1+$C$22)^2</f>
        <v>0.77073804613445507</v>
      </c>
      <c r="E57" s="236">
        <f>1/(1+$C$22)^3</f>
        <v>0.67664393985782578</v>
      </c>
      <c r="F57" s="236">
        <f>1/(1+$C$22)^4</f>
        <v>0.5940371357591574</v>
      </c>
      <c r="G57" s="237">
        <f>1/(1+$C$22)^5</f>
        <v>0.52151522813474038</v>
      </c>
      <c r="H57" s="238"/>
      <c r="I57" s="239" t="s">
        <v>299</v>
      </c>
      <c r="J57" s="240"/>
    </row>
    <row r="58" spans="2:13" ht="14.25" customHeight="1">
      <c r="B58" s="91" t="s">
        <v>300</v>
      </c>
      <c r="C58" s="225">
        <f>C56*C57</f>
        <v>10303.592139816856</v>
      </c>
      <c r="D58" s="221">
        <f>D56*D57</f>
        <v>13533.623965602646</v>
      </c>
      <c r="E58" s="221">
        <f>E56*E57</f>
        <v>13986.725593937404</v>
      </c>
      <c r="F58" s="221">
        <f>F56*F57</f>
        <v>12820.20798665447</v>
      </c>
      <c r="G58" s="226">
        <f>G56*G57</f>
        <v>13452.305288732725</v>
      </c>
      <c r="H58" s="231">
        <f>SUM(C58:G58)</f>
        <v>64096.454974744091</v>
      </c>
      <c r="I58" s="239" t="s">
        <v>301</v>
      </c>
      <c r="J58" s="240"/>
    </row>
    <row r="59" spans="2:13" ht="42.75" customHeight="1">
      <c r="B59" s="91" t="s">
        <v>302</v>
      </c>
      <c r="C59" s="77"/>
      <c r="G59" s="226">
        <f>C43*G57</f>
        <v>180362.30212568538</v>
      </c>
      <c r="H59" s="91"/>
      <c r="I59" s="91" t="s">
        <v>303</v>
      </c>
      <c r="K59" s="222" t="s">
        <v>304</v>
      </c>
    </row>
    <row r="60" spans="2:13" ht="48" customHeight="1">
      <c r="B60" s="91" t="s">
        <v>305</v>
      </c>
      <c r="C60" s="77"/>
      <c r="G60" s="226">
        <f>C50*G57</f>
        <v>695903.7573813278</v>
      </c>
      <c r="H60" s="91"/>
      <c r="I60" s="91" t="s">
        <v>303</v>
      </c>
      <c r="K60" s="222" t="s">
        <v>306</v>
      </c>
    </row>
    <row r="61" spans="2:13" ht="14.25" customHeight="1">
      <c r="B61" s="91" t="s">
        <v>307</v>
      </c>
      <c r="C61" s="77"/>
      <c r="G61" s="24"/>
      <c r="H61" s="231">
        <f>G59+H58</f>
        <v>244458.75710042947</v>
      </c>
      <c r="I61" s="91"/>
      <c r="K61" s="222"/>
    </row>
    <row r="62" spans="2:13" ht="14.25" customHeight="1">
      <c r="B62" s="143" t="s">
        <v>308</v>
      </c>
      <c r="C62" s="21"/>
      <c r="D62" s="22"/>
      <c r="E62" s="22"/>
      <c r="F62" s="22"/>
      <c r="G62" s="23"/>
      <c r="H62" s="232">
        <f>G60+H58</f>
        <v>760000.21235607192</v>
      </c>
      <c r="I62" s="143"/>
    </row>
    <row r="65" spans="2:10" ht="14.25" customHeight="1">
      <c r="B65" s="11" t="s">
        <v>309</v>
      </c>
      <c r="C65" s="11"/>
      <c r="D65" s="241"/>
      <c r="E65" s="3" t="s">
        <v>310</v>
      </c>
      <c r="F65" s="3"/>
    </row>
    <row r="66" spans="2:10" ht="14.25" customHeight="1">
      <c r="B66" s="92" t="s">
        <v>311</v>
      </c>
      <c r="C66" s="219">
        <f>H61</f>
        <v>244458.75710042947</v>
      </c>
      <c r="D66" s="231"/>
      <c r="E66" s="74" t="s">
        <v>311</v>
      </c>
      <c r="F66" s="220">
        <f>H62</f>
        <v>760000.21235607192</v>
      </c>
    </row>
    <row r="67" spans="2:10" ht="14.25" customHeight="1">
      <c r="B67" s="91" t="s">
        <v>312</v>
      </c>
      <c r="C67">
        <v>0</v>
      </c>
      <c r="D67" s="91"/>
      <c r="E67" s="24" t="s">
        <v>312</v>
      </c>
      <c r="F67" s="24">
        <v>0</v>
      </c>
    </row>
    <row r="68" spans="2:10" ht="14.25" customHeight="1">
      <c r="B68" s="91" t="s">
        <v>313</v>
      </c>
      <c r="C68">
        <v>0</v>
      </c>
      <c r="D68" s="91"/>
      <c r="E68" s="24" t="s">
        <v>313</v>
      </c>
      <c r="F68" s="24">
        <v>0</v>
      </c>
    </row>
    <row r="69" spans="2:10" ht="14.25" customHeight="1">
      <c r="B69" s="137" t="s">
        <v>314</v>
      </c>
      <c r="C69" s="228">
        <f>C66-C67+C68</f>
        <v>244458.75710042947</v>
      </c>
      <c r="D69" s="231"/>
      <c r="E69" s="105" t="s">
        <v>314</v>
      </c>
      <c r="F69" s="229">
        <f>F66-F67+F68</f>
        <v>760000.21235607192</v>
      </c>
    </row>
    <row r="71" spans="2:10" ht="14.25" customHeight="1">
      <c r="B71" s="11" t="s">
        <v>315</v>
      </c>
      <c r="C71" s="11"/>
      <c r="D71" s="241"/>
      <c r="E71" s="3" t="s">
        <v>316</v>
      </c>
      <c r="F71" s="3"/>
    </row>
    <row r="72" spans="2:10" ht="14.25" customHeight="1">
      <c r="B72" s="92" t="s">
        <v>155</v>
      </c>
      <c r="C72" s="219">
        <f>C69</f>
        <v>244458.75710042947</v>
      </c>
      <c r="D72" s="231"/>
      <c r="E72" s="92" t="s">
        <v>155</v>
      </c>
      <c r="F72" s="220">
        <f>F69</f>
        <v>760000.21235607192</v>
      </c>
    </row>
    <row r="73" spans="2:10" ht="14.25" customHeight="1">
      <c r="B73" s="143" t="s">
        <v>317</v>
      </c>
      <c r="C73" s="56">
        <f>'INCOME STATEMENT'!J38</f>
        <v>247.5</v>
      </c>
      <c r="D73" s="91"/>
      <c r="E73" s="143" t="s">
        <v>317</v>
      </c>
      <c r="F73" s="57">
        <f>C73</f>
        <v>247.5</v>
      </c>
    </row>
    <row r="74" spans="2:10" ht="14.25" customHeight="1">
      <c r="B74" s="137" t="s">
        <v>314</v>
      </c>
      <c r="C74" s="228">
        <f>C72/C73</f>
        <v>987.71214990072519</v>
      </c>
      <c r="D74" s="231"/>
      <c r="E74" s="105" t="s">
        <v>314</v>
      </c>
      <c r="F74" s="229">
        <f>F72/F73</f>
        <v>3070.7079287114016</v>
      </c>
    </row>
    <row r="80" spans="2:10" ht="47.25" customHeight="1">
      <c r="B80" s="12" t="s">
        <v>318</v>
      </c>
      <c r="C80" s="12"/>
      <c r="D80" s="12"/>
      <c r="E80" s="12"/>
      <c r="F80" s="12"/>
      <c r="G80" s="12"/>
      <c r="H80" s="12"/>
      <c r="J80" s="217" t="s">
        <v>4</v>
      </c>
    </row>
    <row r="81" spans="2:10" ht="47.25" customHeight="1">
      <c r="B81" s="72"/>
      <c r="C81" s="74"/>
      <c r="D81" s="12" t="s">
        <v>319</v>
      </c>
      <c r="E81" s="12"/>
      <c r="F81" s="12"/>
      <c r="G81" s="12"/>
      <c r="H81" s="12"/>
      <c r="J81" s="2" t="s">
        <v>320</v>
      </c>
    </row>
    <row r="82" spans="2:10" ht="47.25" customHeight="1">
      <c r="B82" s="21"/>
      <c r="C82" s="242">
        <f>H61</f>
        <v>244458.75710042947</v>
      </c>
      <c r="D82" s="243">
        <f>E82-0.005</f>
        <v>0.12909999999999999</v>
      </c>
      <c r="E82" s="244">
        <f>F82-0.005</f>
        <v>0.1341</v>
      </c>
      <c r="F82" s="244">
        <v>0.1391</v>
      </c>
      <c r="G82" s="244">
        <f>F82+0.005</f>
        <v>0.14410000000000001</v>
      </c>
      <c r="H82" s="245">
        <f>G82+0.005</f>
        <v>0.14910000000000001</v>
      </c>
      <c r="J82" s="2"/>
    </row>
    <row r="83" spans="2:10" ht="47.25" customHeight="1">
      <c r="B83" s="1" t="s">
        <v>321</v>
      </c>
      <c r="C83" s="247">
        <v>0.04</v>
      </c>
      <c r="D83" s="108">
        <v>229930.62800618299</v>
      </c>
      <c r="E83" s="109">
        <v>216922.57023594301</v>
      </c>
      <c r="F83" s="109">
        <v>205239.26751677401</v>
      </c>
      <c r="G83" s="109">
        <v>194689.57342909701</v>
      </c>
      <c r="H83" s="110">
        <v>185117.38904327899</v>
      </c>
      <c r="J83" s="2"/>
    </row>
    <row r="84" spans="2:10" ht="47.25" customHeight="1">
      <c r="B84" s="1"/>
      <c r="C84" s="142">
        <v>0.05</v>
      </c>
      <c r="D84" s="112">
        <v>252449.46220423499</v>
      </c>
      <c r="E84" s="63">
        <v>236625.85796595999</v>
      </c>
      <c r="F84" s="63">
        <v>222590.524998287</v>
      </c>
      <c r="G84" s="63">
        <v>210058.14220956701</v>
      </c>
      <c r="H84" s="75">
        <v>198800.97790243701</v>
      </c>
      <c r="J84" s="2"/>
    </row>
    <row r="85" spans="2:10" ht="47.25" customHeight="1">
      <c r="B85" s="1"/>
      <c r="C85" s="142">
        <v>0.06</v>
      </c>
      <c r="D85" s="112">
        <v>281486.04870273703</v>
      </c>
      <c r="E85" s="63">
        <v>261647.17207385</v>
      </c>
      <c r="F85" s="63">
        <v>244328.95251305401</v>
      </c>
      <c r="G85" s="63">
        <v>229081.54304246799</v>
      </c>
      <c r="H85" s="75">
        <v>215556.07941236001</v>
      </c>
      <c r="J85" s="2"/>
    </row>
    <row r="86" spans="2:10" ht="47.25" customHeight="1">
      <c r="B86" s="1"/>
      <c r="C86" s="142">
        <v>7.0000000000000007E-2</v>
      </c>
      <c r="D86" s="112">
        <v>320348.89120750001</v>
      </c>
      <c r="E86" s="63">
        <v>294475.44846189301</v>
      </c>
      <c r="F86" s="63">
        <v>272359.25485119701</v>
      </c>
      <c r="G86" s="63">
        <v>253239.46501785301</v>
      </c>
      <c r="H86" s="75">
        <v>236547.616196599</v>
      </c>
      <c r="J86" s="2"/>
    </row>
    <row r="87" spans="2:10" ht="47.25" customHeight="1">
      <c r="B87" s="1"/>
      <c r="C87" s="146">
        <v>0.08</v>
      </c>
      <c r="D87" s="200">
        <v>375041.81212560798</v>
      </c>
      <c r="E87" s="248">
        <v>339439.87138895399</v>
      </c>
      <c r="F87" s="248">
        <v>309875.27710072498</v>
      </c>
      <c r="G87" s="248">
        <v>284934.96015248302</v>
      </c>
      <c r="H87" s="157">
        <v>263614.85103705799</v>
      </c>
      <c r="J87" s="2"/>
    </row>
  </sheetData>
  <mergeCells count="20">
    <mergeCell ref="B80:H80"/>
    <mergeCell ref="D81:H81"/>
    <mergeCell ref="J81:J87"/>
    <mergeCell ref="B83:B87"/>
    <mergeCell ref="B53:I53"/>
    <mergeCell ref="B54:B55"/>
    <mergeCell ref="B65:C65"/>
    <mergeCell ref="E65:F65"/>
    <mergeCell ref="B71:C71"/>
    <mergeCell ref="E71:F71"/>
    <mergeCell ref="D39:G39"/>
    <mergeCell ref="D40:G43"/>
    <mergeCell ref="B46:G46"/>
    <mergeCell ref="D47:G47"/>
    <mergeCell ref="D48:G50"/>
    <mergeCell ref="B2:C2"/>
    <mergeCell ref="K18:K19"/>
    <mergeCell ref="B25:G25"/>
    <mergeCell ref="K28:K29"/>
    <mergeCell ref="B38:G38"/>
  </mergeCells>
  <hyperlinks>
    <hyperlink ref="K49" location="'Comparable Company Analysis'!A1" display="FROM COMPARABLE COMPANY ANALYSIS" xr:uid="{00000000-0004-0000-0900-000000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E11"/>
  <sheetViews>
    <sheetView showGridLines="0" zoomScaleNormal="100" workbookViewId="0">
      <selection activeCell="C18" sqref="C18"/>
    </sheetView>
  </sheetViews>
  <sheetFormatPr defaultColWidth="8.5546875" defaultRowHeight="14.4"/>
  <cols>
    <col min="2" max="2" width="16.44140625" customWidth="1"/>
    <col min="3" max="3" width="35.109375" customWidth="1"/>
    <col min="4" max="4" width="19.109375" customWidth="1"/>
    <col min="5" max="5" width="81" customWidth="1"/>
  </cols>
  <sheetData>
    <row r="2" spans="2:5" ht="14.25" customHeight="1">
      <c r="B2" s="262" t="s">
        <v>322</v>
      </c>
      <c r="C2" s="262"/>
      <c r="D2" s="262"/>
      <c r="E2" s="262"/>
    </row>
    <row r="3" spans="2:5" ht="14.25" customHeight="1">
      <c r="B3" s="262"/>
      <c r="C3" s="262"/>
      <c r="D3" s="262"/>
      <c r="E3" s="262"/>
    </row>
    <row r="4" spans="2:5" ht="14.25" customHeight="1">
      <c r="B4" s="249">
        <f>SUM(B6:B15)</f>
        <v>6.0000000000400178E-2</v>
      </c>
      <c r="C4" s="12" t="s">
        <v>323</v>
      </c>
      <c r="D4" s="12"/>
      <c r="E4" s="12"/>
    </row>
    <row r="5" spans="2:5" ht="14.25" customHeight="1">
      <c r="B5" s="137"/>
      <c r="C5" s="104"/>
      <c r="D5" s="104"/>
      <c r="E5" s="105"/>
    </row>
    <row r="6" spans="2:5" ht="14.25" customHeight="1">
      <c r="B6" s="250">
        <f>SUM('INCOME STATEMENT'!C16:N16)</f>
        <v>6.0000000000400178E-2</v>
      </c>
      <c r="C6" s="92" t="s">
        <v>324</v>
      </c>
      <c r="D6" s="263" t="s">
        <v>325</v>
      </c>
      <c r="E6" s="24" t="s">
        <v>326</v>
      </c>
    </row>
    <row r="7" spans="2:5" ht="14.25" customHeight="1">
      <c r="B7" s="250">
        <f>SUM('INCOME STATEMENT'!C22:N22)</f>
        <v>0</v>
      </c>
      <c r="C7" s="91" t="s">
        <v>324</v>
      </c>
      <c r="D7" s="263"/>
      <c r="E7" s="24" t="s">
        <v>327</v>
      </c>
    </row>
    <row r="8" spans="2:5" ht="14.25" customHeight="1">
      <c r="B8" s="250">
        <f>SUM('INCOME STATEMENT'!C36:N36)</f>
        <v>0</v>
      </c>
      <c r="C8" s="91" t="s">
        <v>328</v>
      </c>
      <c r="D8" s="263"/>
      <c r="E8" s="24" t="s">
        <v>329</v>
      </c>
    </row>
    <row r="9" spans="2:5" ht="14.25" customHeight="1">
      <c r="B9" s="250">
        <f>SUM('BALANCE SHEET'!C32:I32)</f>
        <v>0</v>
      </c>
      <c r="C9" s="91" t="s">
        <v>330</v>
      </c>
      <c r="D9" s="91" t="s">
        <v>331</v>
      </c>
      <c r="E9" s="24" t="s">
        <v>332</v>
      </c>
    </row>
    <row r="10" spans="2:5" ht="14.25" customHeight="1">
      <c r="B10" s="250">
        <f>SUM('CASH FLOW'!D33:J33)</f>
        <v>0</v>
      </c>
      <c r="C10" s="91" t="s">
        <v>333</v>
      </c>
      <c r="D10" s="91" t="s">
        <v>334</v>
      </c>
      <c r="E10" s="24" t="s">
        <v>335</v>
      </c>
    </row>
    <row r="11" spans="2:5" ht="14.25" customHeight="1">
      <c r="B11" s="251">
        <f>SUM('FORCAST SCHEDULES'!C18:N18)</f>
        <v>0</v>
      </c>
      <c r="C11" s="143" t="s">
        <v>176</v>
      </c>
      <c r="D11" s="143" t="s">
        <v>336</v>
      </c>
      <c r="E11" s="23" t="s">
        <v>337</v>
      </c>
    </row>
  </sheetData>
  <mergeCells count="3">
    <mergeCell ref="B2:E3"/>
    <mergeCell ref="C4:E4"/>
    <mergeCell ref="D6:D8"/>
  </mergeCell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E15"/>
  <sheetViews>
    <sheetView showGridLines="0" topLeftCell="A12" zoomScaleNormal="100" workbookViewId="0">
      <selection activeCell="J24" sqref="J24"/>
    </sheetView>
  </sheetViews>
  <sheetFormatPr defaultColWidth="8.5546875" defaultRowHeight="14.4"/>
  <cols>
    <col min="2" max="2" width="18.44140625" customWidth="1"/>
    <col min="3" max="3" width="28.21875" customWidth="1"/>
    <col min="4" max="4" width="15.77734375" customWidth="1"/>
    <col min="5" max="5" width="49.88671875" style="252" customWidth="1"/>
    <col min="6" max="6" width="8.77734375" customWidth="1"/>
  </cols>
  <sheetData>
    <row r="2" spans="2:5" ht="14.25" customHeight="1">
      <c r="B2" s="22" t="s">
        <v>338</v>
      </c>
      <c r="C2" s="22" t="s">
        <v>339</v>
      </c>
      <c r="D2" s="22" t="s">
        <v>3</v>
      </c>
      <c r="E2" s="253" t="s">
        <v>340</v>
      </c>
    </row>
    <row r="3" spans="2:5" ht="114.75" customHeight="1">
      <c r="B3" s="1" t="s">
        <v>325</v>
      </c>
      <c r="C3" s="264" t="s">
        <v>341</v>
      </c>
      <c r="D3" s="213">
        <v>0.21</v>
      </c>
      <c r="E3" s="254" t="s">
        <v>342</v>
      </c>
    </row>
    <row r="4" spans="2:5" ht="14.25" customHeight="1">
      <c r="B4" s="1"/>
      <c r="C4" s="1"/>
      <c r="D4" s="35">
        <f>D3-0.015</f>
        <v>0.19500000000000001</v>
      </c>
      <c r="E4" s="255" t="s">
        <v>343</v>
      </c>
    </row>
    <row r="5" spans="2:5" ht="14.25" customHeight="1">
      <c r="B5" s="1"/>
      <c r="C5" s="1"/>
      <c r="D5" s="35">
        <f>D4-0.015</f>
        <v>0.18</v>
      </c>
      <c r="E5" s="255" t="s">
        <v>343</v>
      </c>
    </row>
    <row r="6" spans="2:5" ht="14.25" customHeight="1">
      <c r="B6" s="1"/>
      <c r="C6" s="1"/>
      <c r="D6" s="35">
        <f>D5-0.015</f>
        <v>0.16499999999999998</v>
      </c>
      <c r="E6" s="255" t="s">
        <v>343</v>
      </c>
    </row>
    <row r="7" spans="2:5" ht="14.25" customHeight="1">
      <c r="B7" s="1"/>
      <c r="C7" s="264"/>
      <c r="D7" s="35">
        <f>D6-0.015</f>
        <v>0.14999999999999997</v>
      </c>
      <c r="E7" s="256" t="s">
        <v>343</v>
      </c>
    </row>
    <row r="8" spans="2:5" ht="186.75" customHeight="1">
      <c r="B8" s="1"/>
      <c r="C8" s="246" t="s">
        <v>15</v>
      </c>
      <c r="D8" s="257">
        <v>0.1963</v>
      </c>
      <c r="E8" s="258" t="s">
        <v>344</v>
      </c>
    </row>
    <row r="9" spans="2:5" ht="273" customHeight="1">
      <c r="B9" s="1"/>
      <c r="C9" s="246" t="s">
        <v>31</v>
      </c>
      <c r="D9" s="259">
        <v>0</v>
      </c>
      <c r="E9" s="258" t="s">
        <v>345</v>
      </c>
    </row>
    <row r="10" spans="2:5" ht="201" customHeight="1">
      <c r="B10" s="1"/>
      <c r="C10" s="246" t="s">
        <v>37</v>
      </c>
      <c r="D10" s="259">
        <v>0</v>
      </c>
      <c r="E10" s="258" t="s">
        <v>346</v>
      </c>
    </row>
    <row r="11" spans="2:5" ht="158.25" customHeight="1">
      <c r="B11" s="1"/>
      <c r="C11" s="246" t="s">
        <v>41</v>
      </c>
      <c r="D11" s="246">
        <v>247.5</v>
      </c>
      <c r="E11" s="258" t="s">
        <v>347</v>
      </c>
    </row>
    <row r="12" spans="2:5" ht="114.75" customHeight="1">
      <c r="B12" s="265" t="s">
        <v>331</v>
      </c>
      <c r="C12" s="246" t="s">
        <v>348</v>
      </c>
      <c r="D12" s="260">
        <v>247.5</v>
      </c>
      <c r="E12" s="261" t="s">
        <v>349</v>
      </c>
    </row>
    <row r="13" spans="2:5" ht="129" customHeight="1">
      <c r="B13" s="265"/>
      <c r="C13" s="1" t="s">
        <v>79</v>
      </c>
      <c r="D13" s="266" t="s">
        <v>350</v>
      </c>
      <c r="E13" s="267" t="s">
        <v>351</v>
      </c>
    </row>
    <row r="14" spans="2:5" ht="14.25" customHeight="1">
      <c r="B14" s="265"/>
      <c r="C14" s="1"/>
      <c r="D14" s="1"/>
      <c r="E14" s="1"/>
    </row>
    <row r="15" spans="2:5" ht="86.25" customHeight="1">
      <c r="B15" s="265"/>
      <c r="C15" s="137" t="s">
        <v>96</v>
      </c>
      <c r="D15" s="259">
        <v>0</v>
      </c>
      <c r="E15" s="258" t="s">
        <v>352</v>
      </c>
    </row>
  </sheetData>
  <mergeCells count="6">
    <mergeCell ref="E13:E14"/>
    <mergeCell ref="B3:B11"/>
    <mergeCell ref="C3:C7"/>
    <mergeCell ref="B12:B15"/>
    <mergeCell ref="C13:C14"/>
    <mergeCell ref="D13:D14"/>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INCOME STATEMENT</vt:lpstr>
      <vt:lpstr>CASH FLOW</vt:lpstr>
      <vt:lpstr>BALANCE SHEET</vt:lpstr>
      <vt:lpstr>KEY RATIOS</vt:lpstr>
      <vt:lpstr>Comparable Company Analysis (CC</vt:lpstr>
      <vt:lpstr>Final Valuation Summary</vt:lpstr>
      <vt:lpstr>FORCAST SCHEDULES</vt:lpstr>
      <vt:lpstr>BETA AND EV_MULTIPLE CALCULATIO</vt:lpstr>
      <vt:lpstr>Free Cash Flow Calculation.</vt:lpstr>
      <vt:lpstr>WACC AND DCF CALCULATION</vt:lpstr>
      <vt:lpstr>ERROR CHECK</vt:lpstr>
      <vt:lpstr>ASSUMPTIONS AND REASONING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 Iyer</dc:creator>
  <dc:description/>
  <cp:lastModifiedBy>Shiva Iyer</cp:lastModifiedBy>
  <cp:revision>0</cp:revision>
  <dcterms:created xsi:type="dcterms:W3CDTF">2025-05-30T10:01:57Z</dcterms:created>
  <dcterms:modified xsi:type="dcterms:W3CDTF">2026-06-21T06:16:35Z</dcterms:modified>
  <dc:language>en-US</dc:language>
</cp:coreProperties>
</file>