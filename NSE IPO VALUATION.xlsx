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0948DF6E4A328DFE/FINANCIAL MODELLING/EQUITY VALUATION/Initial Public Offering (IPO) model/NSE/"/>
    </mc:Choice>
  </mc:AlternateContent>
  <xr:revisionPtr revIDLastSave="3668" documentId="8_{BE1F080E-2B81-4CB1-B8DF-8E17A5B11712}" xr6:coauthVersionLast="47" xr6:coauthVersionMax="47" xr10:uidLastSave="{41873CCF-021C-4160-9306-C3637B70E38F}"/>
  <bookViews>
    <workbookView xWindow="-28905" yWindow="0" windowWidth="14610" windowHeight="15585" firstSheet="1" activeTab="1" xr2:uid="{62948B59-76CE-4D5A-BE74-D9A305F47097}"/>
  </bookViews>
  <sheets>
    <sheet name="INCOME STATEMENT" sheetId="1" r:id="rId1"/>
    <sheet name="CASH FLOW" sheetId="3" r:id="rId2"/>
    <sheet name="BALANCE SHEET" sheetId="2" r:id="rId3"/>
    <sheet name="KEY RATIOS" sheetId="5" r:id="rId4"/>
    <sheet name="Comparable Company Analysis (CC" sheetId="12" r:id="rId5"/>
    <sheet name="Final Valuation Summary" sheetId="13" r:id="rId6"/>
    <sheet name="FORCAST SCHEDULES" sheetId="7" r:id="rId7"/>
    <sheet name="BETA AND EV_MULTIPLE CALCULATIO" sheetId="11" r:id="rId8"/>
    <sheet name="Free Cash Flow Calculation." sheetId="9" r:id="rId9"/>
    <sheet name="WACC AND DCF CALCULATION" sheetId="10" r:id="rId10"/>
    <sheet name="ERROR CHECK" sheetId="4" r:id="rId11"/>
    <sheet name="ASSUMPTIONS AND REASONING" sheetId="6"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 l="1"/>
  <c r="I6" i="2"/>
  <c r="I7" i="2"/>
  <c r="C15" i="10"/>
  <c r="C17" i="10"/>
  <c r="C18" i="10"/>
  <c r="C6" i="10"/>
  <c r="C7" i="10"/>
  <c r="C22" i="10"/>
  <c r="C42" i="10"/>
  <c r="J5" i="7"/>
  <c r="I9" i="7"/>
  <c r="J4" i="7"/>
  <c r="J7" i="7"/>
  <c r="J9" i="7"/>
  <c r="K4" i="7"/>
  <c r="K5" i="7"/>
  <c r="K7" i="7"/>
  <c r="K9" i="7"/>
  <c r="L4" i="7"/>
  <c r="L5" i="7"/>
  <c r="L7" i="7"/>
  <c r="L9" i="7"/>
  <c r="M4" i="7"/>
  <c r="M5" i="7"/>
  <c r="M7" i="7"/>
  <c r="M9" i="7"/>
  <c r="N4" i="7"/>
  <c r="N5" i="7"/>
  <c r="N7" i="7"/>
  <c r="N19" i="1"/>
  <c r="N20" i="1"/>
  <c r="G28" i="10"/>
  <c r="N26" i="1"/>
  <c r="N29" i="1"/>
  <c r="N30" i="1"/>
  <c r="G29" i="10"/>
  <c r="G30" i="10"/>
  <c r="G31" i="10"/>
  <c r="G32" i="10"/>
  <c r="G33" i="10"/>
  <c r="N57" i="7"/>
  <c r="K57" i="7"/>
  <c r="H57" i="7"/>
  <c r="H56" i="7"/>
  <c r="H58" i="7"/>
  <c r="I57" i="7"/>
  <c r="I56" i="7"/>
  <c r="I58" i="7"/>
  <c r="J57" i="7"/>
  <c r="G57" i="7"/>
  <c r="G56" i="7"/>
  <c r="G58" i="7"/>
  <c r="I59" i="7"/>
  <c r="J56" i="7"/>
  <c r="J58" i="7"/>
  <c r="J59" i="7"/>
  <c r="K56" i="7"/>
  <c r="K58" i="7"/>
  <c r="L57" i="7"/>
  <c r="K59" i="7"/>
  <c r="L56" i="7"/>
  <c r="L58" i="7"/>
  <c r="M57" i="7"/>
  <c r="L59" i="7"/>
  <c r="M56" i="7"/>
  <c r="M58" i="7"/>
  <c r="M59" i="7"/>
  <c r="N56" i="7"/>
  <c r="N24" i="2"/>
  <c r="M24" i="2"/>
  <c r="O8" i="3"/>
  <c r="N70" i="7"/>
  <c r="N63" i="7"/>
  <c r="K63" i="7"/>
  <c r="H63" i="7"/>
  <c r="H64" i="7"/>
  <c r="H65" i="7"/>
  <c r="I63" i="7"/>
  <c r="I26" i="2"/>
  <c r="I64" i="7"/>
  <c r="I65" i="7"/>
  <c r="J63" i="7"/>
  <c r="G63" i="7"/>
  <c r="G64" i="7"/>
  <c r="G65" i="7"/>
  <c r="I66" i="7"/>
  <c r="J64" i="7"/>
  <c r="J65" i="7"/>
  <c r="J66" i="7"/>
  <c r="K64" i="7"/>
  <c r="K65" i="7"/>
  <c r="L63" i="7"/>
  <c r="K66" i="7"/>
  <c r="L64" i="7"/>
  <c r="L65" i="7"/>
  <c r="M63" i="7"/>
  <c r="L66" i="7"/>
  <c r="M64" i="7"/>
  <c r="M65" i="7"/>
  <c r="M66" i="7"/>
  <c r="N64" i="7"/>
  <c r="N26" i="2"/>
  <c r="M26" i="2"/>
  <c r="O9" i="3"/>
  <c r="N71" i="7"/>
  <c r="H35" i="7"/>
  <c r="H10" i="2"/>
  <c r="H13" i="2"/>
  <c r="H14" i="2"/>
  <c r="H34" i="7"/>
  <c r="H36" i="7"/>
  <c r="I35" i="7"/>
  <c r="I10" i="2"/>
  <c r="I13" i="2"/>
  <c r="I14" i="2"/>
  <c r="I34" i="7"/>
  <c r="I36" i="7"/>
  <c r="G35" i="7"/>
  <c r="G10" i="2"/>
  <c r="G13" i="2"/>
  <c r="G14" i="2"/>
  <c r="G34" i="7"/>
  <c r="G36" i="7"/>
  <c r="I37" i="7"/>
  <c r="J35" i="7"/>
  <c r="I29" i="7"/>
  <c r="F29" i="7"/>
  <c r="I30" i="7"/>
  <c r="J29" i="7"/>
  <c r="J9" i="2"/>
  <c r="J10" i="2"/>
  <c r="J12" i="2"/>
  <c r="J13" i="2"/>
  <c r="J14" i="2"/>
  <c r="J34" i="7"/>
  <c r="J36" i="7"/>
  <c r="J37" i="7"/>
  <c r="K35" i="7"/>
  <c r="G29" i="7"/>
  <c r="J30" i="7"/>
  <c r="K29" i="7"/>
  <c r="K9" i="2"/>
  <c r="K10" i="2"/>
  <c r="K12" i="2"/>
  <c r="K13" i="2"/>
  <c r="K14" i="2"/>
  <c r="K34" i="7"/>
  <c r="K36" i="7"/>
  <c r="K37" i="7"/>
  <c r="L35" i="7"/>
  <c r="H29" i="7"/>
  <c r="K30" i="7"/>
  <c r="L29" i="7"/>
  <c r="L9" i="2"/>
  <c r="L10" i="2"/>
  <c r="L12" i="2"/>
  <c r="L13" i="2"/>
  <c r="L14" i="2"/>
  <c r="L34" i="7"/>
  <c r="L36" i="7"/>
  <c r="L37" i="7"/>
  <c r="M35" i="7"/>
  <c r="L30" i="7"/>
  <c r="M29" i="7"/>
  <c r="M9" i="2"/>
  <c r="M10" i="2"/>
  <c r="M12" i="2"/>
  <c r="M13" i="2"/>
  <c r="M14" i="2"/>
  <c r="M34" i="7"/>
  <c r="M36" i="7"/>
  <c r="M37" i="7"/>
  <c r="N35" i="7"/>
  <c r="N12" i="2"/>
  <c r="O10" i="3"/>
  <c r="N72" i="7"/>
  <c r="N73" i="7"/>
  <c r="G34" i="10"/>
  <c r="G35" i="10"/>
  <c r="C40" i="10"/>
  <c r="C43" i="10"/>
  <c r="G57" i="10"/>
  <c r="G59" i="10"/>
  <c r="C57" i="10"/>
  <c r="J19" i="1"/>
  <c r="J20" i="1"/>
  <c r="C28" i="10"/>
  <c r="J26" i="1"/>
  <c r="J29" i="1"/>
  <c r="J30" i="1"/>
  <c r="C29" i="10"/>
  <c r="C30" i="10"/>
  <c r="C31" i="10"/>
  <c r="C32" i="10"/>
  <c r="C33" i="10"/>
  <c r="J24" i="2"/>
  <c r="K8" i="3"/>
  <c r="J70" i="7"/>
  <c r="J26" i="2"/>
  <c r="K9" i="3"/>
  <c r="J71" i="7"/>
  <c r="K10" i="3"/>
  <c r="J72" i="7"/>
  <c r="J73" i="7"/>
  <c r="C34" i="10"/>
  <c r="C35" i="10"/>
  <c r="C56" i="10"/>
  <c r="C58" i="10"/>
  <c r="D57" i="10"/>
  <c r="K19" i="1"/>
  <c r="K20" i="1"/>
  <c r="D28" i="10"/>
  <c r="K26" i="1"/>
  <c r="K29" i="1"/>
  <c r="K30" i="1"/>
  <c r="D29" i="10"/>
  <c r="D30" i="10"/>
  <c r="D31" i="10"/>
  <c r="D32" i="10"/>
  <c r="D33" i="10"/>
  <c r="K24" i="2"/>
  <c r="L8" i="3"/>
  <c r="K70" i="7"/>
  <c r="K26" i="2"/>
  <c r="L9" i="3"/>
  <c r="K71" i="7"/>
  <c r="L10" i="3"/>
  <c r="K72" i="7"/>
  <c r="K73" i="7"/>
  <c r="D34" i="10"/>
  <c r="D35" i="10"/>
  <c r="D56" i="10"/>
  <c r="D58" i="10"/>
  <c r="E57" i="10"/>
  <c r="L19" i="1"/>
  <c r="L20" i="1"/>
  <c r="E28" i="10"/>
  <c r="L26" i="1"/>
  <c r="L29" i="1"/>
  <c r="L30" i="1"/>
  <c r="E29" i="10"/>
  <c r="E30" i="10"/>
  <c r="E31" i="10"/>
  <c r="E32" i="10"/>
  <c r="E33" i="10"/>
  <c r="L24" i="2"/>
  <c r="M8" i="3"/>
  <c r="L70" i="7"/>
  <c r="L26" i="2"/>
  <c r="M9" i="3"/>
  <c r="L71" i="7"/>
  <c r="M10" i="3"/>
  <c r="L72" i="7"/>
  <c r="L73" i="7"/>
  <c r="E34" i="10"/>
  <c r="E35" i="10"/>
  <c r="E56" i="10"/>
  <c r="E58" i="10"/>
  <c r="F57" i="10"/>
  <c r="M19" i="1"/>
  <c r="M20" i="1"/>
  <c r="F28" i="10"/>
  <c r="M26" i="1"/>
  <c r="M29" i="1"/>
  <c r="M30" i="1"/>
  <c r="F29" i="10"/>
  <c r="F30" i="10"/>
  <c r="F31" i="10"/>
  <c r="F32" i="10"/>
  <c r="F33" i="10"/>
  <c r="N8" i="3"/>
  <c r="M70" i="7"/>
  <c r="N9" i="3"/>
  <c r="M71" i="7"/>
  <c r="N10" i="3"/>
  <c r="M72" i="7"/>
  <c r="M73" i="7"/>
  <c r="F34" i="10"/>
  <c r="F35" i="10"/>
  <c r="F56" i="10"/>
  <c r="F58" i="10"/>
  <c r="G56" i="10"/>
  <c r="G58" i="10"/>
  <c r="H58" i="10"/>
  <c r="H61" i="10"/>
  <c r="C82" i="10"/>
  <c r="C66" i="10"/>
  <c r="C69" i="10"/>
  <c r="C48" i="10"/>
  <c r="C49" i="10"/>
  <c r="C50" i="10"/>
  <c r="G60" i="10"/>
  <c r="H62" i="10"/>
  <c r="F66" i="10"/>
  <c r="F69" i="10"/>
  <c r="D5" i="13"/>
  <c r="G82" i="10"/>
  <c r="H82" i="10"/>
  <c r="E82" i="10"/>
  <c r="D82" i="10"/>
  <c r="D9" i="13"/>
  <c r="C14" i="13"/>
  <c r="J33" i="1"/>
  <c r="C6" i="12"/>
  <c r="C20" i="12"/>
  <c r="D8" i="13"/>
  <c r="D10" i="13"/>
  <c r="C15" i="13"/>
  <c r="C16" i="13"/>
  <c r="D6" i="13"/>
  <c r="C19" i="12"/>
  <c r="D7" i="13"/>
  <c r="G12" i="12"/>
  <c r="D15" i="7"/>
  <c r="D7" i="2"/>
  <c r="C7" i="2"/>
  <c r="E25" i="3"/>
  <c r="D16" i="7"/>
  <c r="C17" i="7"/>
  <c r="D14" i="7"/>
  <c r="D17" i="7"/>
  <c r="E14" i="7"/>
  <c r="E15" i="7"/>
  <c r="E7" i="2"/>
  <c r="F25" i="3"/>
  <c r="E16" i="7"/>
  <c r="E17" i="7"/>
  <c r="F14" i="7"/>
  <c r="F15" i="7"/>
  <c r="F7" i="2"/>
  <c r="G25" i="3"/>
  <c r="F16" i="7"/>
  <c r="F17" i="7"/>
  <c r="G14" i="7"/>
  <c r="G15" i="7"/>
  <c r="G7" i="2"/>
  <c r="H25" i="3"/>
  <c r="G16" i="7"/>
  <c r="G17" i="7"/>
  <c r="H14" i="7"/>
  <c r="H15" i="7"/>
  <c r="H7" i="2"/>
  <c r="I25" i="3"/>
  <c r="H16" i="7"/>
  <c r="H17" i="7"/>
  <c r="I14" i="7"/>
  <c r="I15" i="7"/>
  <c r="J25" i="3"/>
  <c r="I16" i="7"/>
  <c r="I17" i="7"/>
  <c r="J14" i="7"/>
  <c r="J15" i="7"/>
  <c r="J23" i="7"/>
  <c r="J24" i="7"/>
  <c r="K25" i="3"/>
  <c r="J16" i="7"/>
  <c r="J17" i="7"/>
  <c r="J6" i="2"/>
  <c r="J4" i="2"/>
  <c r="J7" i="2"/>
  <c r="C8" i="12"/>
  <c r="E6" i="3"/>
  <c r="E7" i="3"/>
  <c r="E8" i="3"/>
  <c r="E9" i="3"/>
  <c r="E10" i="3"/>
  <c r="E11" i="3"/>
  <c r="E12" i="3"/>
  <c r="E13" i="3"/>
  <c r="E16" i="3"/>
  <c r="E17" i="3"/>
  <c r="E18" i="3"/>
  <c r="E20" i="3"/>
  <c r="E27" i="3"/>
  <c r="E30" i="3"/>
  <c r="D31" i="3"/>
  <c r="E29" i="3"/>
  <c r="E31" i="3"/>
  <c r="F29" i="3"/>
  <c r="F6" i="3"/>
  <c r="F7" i="3"/>
  <c r="F8" i="3"/>
  <c r="F9" i="3"/>
  <c r="F10" i="3"/>
  <c r="F11" i="3"/>
  <c r="F12" i="3"/>
  <c r="F13" i="3"/>
  <c r="F16" i="3"/>
  <c r="F17" i="3"/>
  <c r="F18" i="3"/>
  <c r="F20" i="3"/>
  <c r="F27" i="3"/>
  <c r="F30" i="3"/>
  <c r="F31" i="3"/>
  <c r="G29" i="3"/>
  <c r="G6" i="3"/>
  <c r="G7" i="3"/>
  <c r="G8" i="3"/>
  <c r="G9" i="3"/>
  <c r="G10" i="3"/>
  <c r="G11" i="3"/>
  <c r="G12" i="3"/>
  <c r="G13" i="3"/>
  <c r="G16" i="3"/>
  <c r="G17" i="3"/>
  <c r="G18" i="3"/>
  <c r="G20" i="3"/>
  <c r="G27" i="3"/>
  <c r="G30" i="3"/>
  <c r="G31" i="3"/>
  <c r="H29" i="3"/>
  <c r="H6" i="3"/>
  <c r="H7" i="3"/>
  <c r="H8" i="3"/>
  <c r="H9" i="3"/>
  <c r="H10" i="3"/>
  <c r="H11" i="3"/>
  <c r="H12" i="3"/>
  <c r="H13" i="3"/>
  <c r="H16" i="3"/>
  <c r="H17" i="3"/>
  <c r="H18" i="3"/>
  <c r="H20" i="3"/>
  <c r="H27" i="3"/>
  <c r="H30" i="3"/>
  <c r="H31" i="3"/>
  <c r="I29" i="3"/>
  <c r="I6" i="3"/>
  <c r="I7" i="3"/>
  <c r="I8" i="3"/>
  <c r="I9" i="3"/>
  <c r="I10" i="3"/>
  <c r="I11" i="3"/>
  <c r="I12" i="3"/>
  <c r="I13" i="3"/>
  <c r="I16" i="3"/>
  <c r="I17" i="3"/>
  <c r="I18" i="3"/>
  <c r="I20" i="3"/>
  <c r="I27" i="3"/>
  <c r="I30" i="3"/>
  <c r="I31" i="3"/>
  <c r="J29" i="3"/>
  <c r="J6" i="3"/>
  <c r="J7" i="3"/>
  <c r="J8" i="3"/>
  <c r="J9" i="3"/>
  <c r="J10" i="3"/>
  <c r="J11" i="3"/>
  <c r="J12" i="3"/>
  <c r="J13" i="3"/>
  <c r="J16" i="3"/>
  <c r="J17" i="3"/>
  <c r="J18" i="3"/>
  <c r="J20" i="3"/>
  <c r="J27" i="3"/>
  <c r="J30" i="3"/>
  <c r="J31" i="3"/>
  <c r="K29" i="3"/>
  <c r="K6" i="3"/>
  <c r="K7" i="3"/>
  <c r="G42" i="7"/>
  <c r="G41" i="7"/>
  <c r="G43" i="7"/>
  <c r="H42" i="7"/>
  <c r="H41" i="7"/>
  <c r="H43" i="7"/>
  <c r="I42" i="7"/>
  <c r="I41" i="7"/>
  <c r="I43" i="7"/>
  <c r="J44" i="7"/>
  <c r="J41" i="7"/>
  <c r="J42" i="7"/>
  <c r="J16" i="2"/>
  <c r="K11" i="3"/>
  <c r="K12" i="3"/>
  <c r="K13" i="3"/>
  <c r="J20" i="2"/>
  <c r="K16" i="3"/>
  <c r="G49" i="7"/>
  <c r="G22" i="2"/>
  <c r="G50" i="7"/>
  <c r="G51" i="7"/>
  <c r="H49" i="7"/>
  <c r="H22" i="2"/>
  <c r="H50" i="7"/>
  <c r="H51" i="7"/>
  <c r="I49" i="7"/>
  <c r="I22" i="2"/>
  <c r="I50" i="7"/>
  <c r="I51" i="7"/>
  <c r="I52" i="7"/>
  <c r="J49" i="7"/>
  <c r="J21" i="2"/>
  <c r="K17" i="3"/>
  <c r="K18" i="3"/>
  <c r="K20" i="3"/>
  <c r="K27" i="3"/>
  <c r="K30" i="3"/>
  <c r="K31" i="3"/>
  <c r="J25" i="2"/>
  <c r="J27" i="2"/>
  <c r="J22" i="2"/>
  <c r="J31" i="2"/>
  <c r="C7" i="12"/>
  <c r="C5" i="12"/>
  <c r="G5" i="12"/>
  <c r="G6" i="12"/>
  <c r="G7" i="12"/>
  <c r="G8" i="12"/>
  <c r="E13" i="12"/>
  <c r="F13" i="12"/>
  <c r="D13" i="12"/>
  <c r="E14" i="12"/>
  <c r="F14" i="12"/>
  <c r="E15" i="12"/>
  <c r="F15" i="12"/>
  <c r="D15" i="12"/>
  <c r="D14" i="12"/>
  <c r="G15" i="12"/>
  <c r="G10" i="12"/>
  <c r="G11" i="12"/>
  <c r="G13" i="12"/>
  <c r="G14" i="12"/>
  <c r="G9" i="12"/>
  <c r="D22" i="5"/>
  <c r="E22" i="5"/>
  <c r="F22" i="5"/>
  <c r="G22" i="5"/>
  <c r="H22" i="5"/>
  <c r="I22" i="5"/>
  <c r="J22" i="5"/>
  <c r="K22" i="5"/>
  <c r="L22" i="5"/>
  <c r="M22" i="5"/>
  <c r="N22" i="5"/>
  <c r="C22" i="5"/>
  <c r="J14" i="5"/>
  <c r="K14" i="5"/>
  <c r="L14" i="5"/>
  <c r="M14" i="5"/>
  <c r="N14" i="5"/>
  <c r="J15" i="5"/>
  <c r="K15" i="5"/>
  <c r="L15" i="5"/>
  <c r="M15" i="5"/>
  <c r="N15" i="5"/>
  <c r="J21" i="1"/>
  <c r="J16" i="5"/>
  <c r="K21" i="1"/>
  <c r="K16" i="5"/>
  <c r="L21" i="1"/>
  <c r="L16" i="5"/>
  <c r="M21" i="1"/>
  <c r="M16" i="5"/>
  <c r="N21" i="1"/>
  <c r="N16" i="5"/>
  <c r="J35" i="1"/>
  <c r="J17" i="5"/>
  <c r="K33" i="1"/>
  <c r="K35" i="1"/>
  <c r="K17" i="5"/>
  <c r="L33" i="1"/>
  <c r="L35" i="1"/>
  <c r="L17" i="5"/>
  <c r="M33" i="1"/>
  <c r="M35" i="1"/>
  <c r="M17" i="5"/>
  <c r="N33" i="1"/>
  <c r="N35" i="1"/>
  <c r="N17" i="5"/>
  <c r="J18" i="5"/>
  <c r="K14" i="7"/>
  <c r="K15" i="7"/>
  <c r="K23" i="7"/>
  <c r="K24" i="7"/>
  <c r="L25" i="3"/>
  <c r="K16" i="7"/>
  <c r="K17" i="7"/>
  <c r="K6" i="2"/>
  <c r="K4" i="2"/>
  <c r="K7" i="2"/>
  <c r="K18" i="5"/>
  <c r="L14" i="7"/>
  <c r="L15" i="7"/>
  <c r="L23" i="7"/>
  <c r="L24" i="7"/>
  <c r="M25" i="3"/>
  <c r="L16" i="7"/>
  <c r="L17" i="7"/>
  <c r="L6" i="2"/>
  <c r="L4" i="2"/>
  <c r="L7" i="2"/>
  <c r="L18" i="5"/>
  <c r="M14" i="7"/>
  <c r="M15" i="7"/>
  <c r="M23" i="7"/>
  <c r="M24" i="7"/>
  <c r="N25" i="3"/>
  <c r="M16" i="7"/>
  <c r="M17" i="7"/>
  <c r="M6" i="2"/>
  <c r="M4" i="2"/>
  <c r="M7" i="2"/>
  <c r="M18" i="5"/>
  <c r="N14" i="7"/>
  <c r="N15" i="7"/>
  <c r="N23" i="7"/>
  <c r="N24" i="7"/>
  <c r="O25" i="3"/>
  <c r="N16" i="7"/>
  <c r="N17" i="7"/>
  <c r="N6" i="2"/>
  <c r="N4" i="2"/>
  <c r="N7" i="2"/>
  <c r="N18" i="5"/>
  <c r="I27" i="2"/>
  <c r="I31" i="2"/>
  <c r="J19" i="5"/>
  <c r="L29" i="3"/>
  <c r="L6" i="3"/>
  <c r="L7" i="3"/>
  <c r="J43" i="7"/>
  <c r="K44" i="7"/>
  <c r="K41" i="7"/>
  <c r="K42" i="7"/>
  <c r="K16" i="2"/>
  <c r="L11" i="3"/>
  <c r="L12" i="3"/>
  <c r="L13" i="3"/>
  <c r="J50" i="7"/>
  <c r="J51" i="7"/>
  <c r="J52" i="7"/>
  <c r="K49" i="7"/>
  <c r="K21" i="2"/>
  <c r="L17" i="3"/>
  <c r="K20" i="2"/>
  <c r="L16" i="3"/>
  <c r="L18" i="3"/>
  <c r="L20" i="3"/>
  <c r="L27" i="3"/>
  <c r="L30" i="3"/>
  <c r="L31" i="3"/>
  <c r="K25" i="2"/>
  <c r="K27" i="2"/>
  <c r="K22" i="2"/>
  <c r="K31" i="2"/>
  <c r="K19" i="5"/>
  <c r="M29" i="3"/>
  <c r="M6" i="3"/>
  <c r="M7" i="3"/>
  <c r="K43" i="7"/>
  <c r="L44" i="7"/>
  <c r="L41" i="7"/>
  <c r="L42" i="7"/>
  <c r="L16" i="2"/>
  <c r="M11" i="3"/>
  <c r="M12" i="3"/>
  <c r="M13" i="3"/>
  <c r="K50" i="7"/>
  <c r="K51" i="7"/>
  <c r="K52" i="7"/>
  <c r="L49" i="7"/>
  <c r="L21" i="2"/>
  <c r="M17" i="3"/>
  <c r="L20" i="2"/>
  <c r="M16" i="3"/>
  <c r="M18" i="3"/>
  <c r="M20" i="3"/>
  <c r="M27" i="3"/>
  <c r="M30" i="3"/>
  <c r="M31" i="3"/>
  <c r="L25" i="2"/>
  <c r="L27" i="2"/>
  <c r="L22" i="2"/>
  <c r="L31" i="2"/>
  <c r="L19" i="5"/>
  <c r="N29" i="3"/>
  <c r="N6" i="3"/>
  <c r="N7" i="3"/>
  <c r="L43" i="7"/>
  <c r="M44" i="7"/>
  <c r="M41" i="7"/>
  <c r="M42" i="7"/>
  <c r="M16" i="2"/>
  <c r="N11" i="3"/>
  <c r="N12" i="3"/>
  <c r="N13" i="3"/>
  <c r="L50" i="7"/>
  <c r="L51" i="7"/>
  <c r="L52" i="7"/>
  <c r="M49" i="7"/>
  <c r="M21" i="2"/>
  <c r="N17" i="3"/>
  <c r="M20" i="2"/>
  <c r="N16" i="3"/>
  <c r="N18" i="3"/>
  <c r="N20" i="3"/>
  <c r="N27" i="3"/>
  <c r="N30" i="3"/>
  <c r="N31" i="3"/>
  <c r="M25" i="2"/>
  <c r="M27" i="2"/>
  <c r="M22" i="2"/>
  <c r="M31" i="2"/>
  <c r="M19" i="5"/>
  <c r="O29" i="3"/>
  <c r="O6" i="3"/>
  <c r="O7" i="3"/>
  <c r="M43" i="7"/>
  <c r="N44" i="7"/>
  <c r="M30" i="7"/>
  <c r="N29" i="7"/>
  <c r="N9" i="2"/>
  <c r="N10" i="2"/>
  <c r="N13" i="2"/>
  <c r="N14" i="2"/>
  <c r="N41" i="7"/>
  <c r="N42" i="7"/>
  <c r="N16" i="2"/>
  <c r="O11" i="3"/>
  <c r="O12" i="3"/>
  <c r="O13" i="3"/>
  <c r="M50" i="7"/>
  <c r="M51" i="7"/>
  <c r="M52" i="7"/>
  <c r="N49" i="7"/>
  <c r="N21" i="2"/>
  <c r="O17" i="3"/>
  <c r="N9" i="7"/>
  <c r="N20" i="2"/>
  <c r="O16" i="3"/>
  <c r="O18" i="3"/>
  <c r="O20" i="3"/>
  <c r="O27" i="3"/>
  <c r="O30" i="3"/>
  <c r="O31" i="3"/>
  <c r="N25" i="2"/>
  <c r="N27" i="2"/>
  <c r="N22" i="2"/>
  <c r="N31" i="2"/>
  <c r="N19" i="5"/>
  <c r="J11" i="5"/>
  <c r="K11" i="5"/>
  <c r="L11" i="5"/>
  <c r="M11" i="5"/>
  <c r="N11" i="5"/>
  <c r="J10" i="5"/>
  <c r="K10" i="5"/>
  <c r="L10" i="5"/>
  <c r="M10" i="5"/>
  <c r="N10" i="5"/>
  <c r="J7" i="5"/>
  <c r="K7" i="5"/>
  <c r="L7" i="5"/>
  <c r="M7" i="5"/>
  <c r="N7" i="5"/>
  <c r="J6" i="5"/>
  <c r="K6" i="5"/>
  <c r="L6" i="5"/>
  <c r="M6" i="5"/>
  <c r="N6" i="5"/>
  <c r="F72" i="10"/>
  <c r="C73" i="10"/>
  <c r="F73" i="10"/>
  <c r="F74" i="10"/>
  <c r="C72" i="10"/>
  <c r="C74" i="10"/>
  <c r="F15" i="11"/>
  <c r="F13" i="11"/>
  <c r="F14" i="11"/>
  <c r="F12" i="11"/>
  <c r="G7" i="11"/>
  <c r="C19" i="10"/>
  <c r="E4" i="9"/>
  <c r="E5" i="9"/>
  <c r="E70" i="7"/>
  <c r="E71" i="7"/>
  <c r="E72" i="7"/>
  <c r="E73" i="7"/>
  <c r="E6" i="9"/>
  <c r="E7" i="9"/>
  <c r="E8" i="9"/>
  <c r="F4" i="9"/>
  <c r="F5" i="9"/>
  <c r="F70" i="7"/>
  <c r="F71" i="7"/>
  <c r="F72" i="7"/>
  <c r="F73" i="7"/>
  <c r="F6" i="9"/>
  <c r="F7" i="9"/>
  <c r="F8" i="9"/>
  <c r="G4" i="9"/>
  <c r="G5" i="9"/>
  <c r="G70" i="7"/>
  <c r="G71" i="7"/>
  <c r="G72" i="7"/>
  <c r="G73" i="7"/>
  <c r="G6" i="9"/>
  <c r="G7" i="9"/>
  <c r="G8" i="9"/>
  <c r="H4" i="9"/>
  <c r="H5" i="9"/>
  <c r="H70" i="7"/>
  <c r="H71" i="7"/>
  <c r="H72" i="7"/>
  <c r="H73" i="7"/>
  <c r="H6" i="9"/>
  <c r="H7" i="9"/>
  <c r="H8" i="9"/>
  <c r="I4" i="9"/>
  <c r="I5" i="9"/>
  <c r="I70" i="7"/>
  <c r="I71" i="7"/>
  <c r="I72" i="7"/>
  <c r="I73" i="7"/>
  <c r="I6" i="9"/>
  <c r="I7" i="9"/>
  <c r="I8" i="9"/>
  <c r="J4" i="9"/>
  <c r="J5" i="9"/>
  <c r="J6" i="9"/>
  <c r="J7" i="9"/>
  <c r="J8" i="9"/>
  <c r="K4" i="9"/>
  <c r="K5" i="9"/>
  <c r="K6" i="9"/>
  <c r="K7" i="9"/>
  <c r="K8" i="9"/>
  <c r="L4" i="9"/>
  <c r="L5" i="9"/>
  <c r="L6" i="9"/>
  <c r="L7" i="9"/>
  <c r="L8" i="9"/>
  <c r="M4" i="9"/>
  <c r="M5" i="9"/>
  <c r="M6" i="9"/>
  <c r="M7" i="9"/>
  <c r="M8" i="9"/>
  <c r="N4" i="9"/>
  <c r="N5" i="9"/>
  <c r="N6" i="9"/>
  <c r="N7" i="9"/>
  <c r="N8" i="9"/>
  <c r="D4" i="9"/>
  <c r="D5" i="9"/>
  <c r="D70" i="7"/>
  <c r="D71" i="7"/>
  <c r="D72" i="7"/>
  <c r="D73" i="7"/>
  <c r="D6" i="9"/>
  <c r="D7" i="9"/>
  <c r="D8" i="9"/>
  <c r="C5" i="9"/>
  <c r="C4" i="9"/>
  <c r="D10" i="2"/>
  <c r="D13" i="2"/>
  <c r="D14" i="2"/>
  <c r="D41" i="7"/>
  <c r="E10" i="2"/>
  <c r="E13" i="2"/>
  <c r="E14" i="2"/>
  <c r="E41" i="7"/>
  <c r="F10" i="2"/>
  <c r="F13" i="2"/>
  <c r="F14" i="2"/>
  <c r="F41" i="7"/>
  <c r="C10" i="2"/>
  <c r="C13" i="2"/>
  <c r="C14" i="2"/>
  <c r="C41" i="7"/>
  <c r="D63" i="7"/>
  <c r="D64" i="7"/>
  <c r="D65" i="7"/>
  <c r="E63" i="7"/>
  <c r="E64" i="7"/>
  <c r="E65" i="7"/>
  <c r="F63" i="7"/>
  <c r="F64" i="7"/>
  <c r="F65" i="7"/>
  <c r="F66" i="7"/>
  <c r="G66" i="7"/>
  <c r="H66" i="7"/>
  <c r="N65" i="7"/>
  <c r="N66" i="7"/>
  <c r="C63" i="7"/>
  <c r="C64" i="7"/>
  <c r="C65" i="7"/>
  <c r="E66" i="7"/>
  <c r="E35" i="7"/>
  <c r="E34" i="7"/>
  <c r="E36" i="7"/>
  <c r="F35" i="7"/>
  <c r="F34" i="7"/>
  <c r="F36" i="7"/>
  <c r="G37" i="7"/>
  <c r="H37" i="7"/>
  <c r="C35" i="7"/>
  <c r="C34" i="7"/>
  <c r="C36" i="7"/>
  <c r="D35" i="7"/>
  <c r="D34" i="7"/>
  <c r="D36" i="7"/>
  <c r="E37" i="7"/>
  <c r="F37" i="7"/>
  <c r="D18" i="2"/>
  <c r="E18" i="2"/>
  <c r="F18" i="2"/>
  <c r="G18" i="2"/>
  <c r="H18" i="2"/>
  <c r="I18" i="2"/>
  <c r="C18" i="2"/>
  <c r="G27" i="2"/>
  <c r="G31" i="2"/>
  <c r="H27" i="2"/>
  <c r="H31" i="2"/>
  <c r="C49" i="7"/>
  <c r="C22" i="2"/>
  <c r="C50" i="7"/>
  <c r="C51" i="7"/>
  <c r="D49" i="7"/>
  <c r="D22" i="2"/>
  <c r="D50" i="7"/>
  <c r="D51" i="7"/>
  <c r="E49" i="7"/>
  <c r="E22" i="2"/>
  <c r="E50" i="7"/>
  <c r="E51" i="7"/>
  <c r="E52" i="7"/>
  <c r="F49" i="7"/>
  <c r="F22" i="2"/>
  <c r="F50" i="7"/>
  <c r="F51" i="7"/>
  <c r="F52" i="7"/>
  <c r="N58" i="7"/>
  <c r="D56" i="7"/>
  <c r="D57" i="7"/>
  <c r="D58" i="7"/>
  <c r="E56" i="7"/>
  <c r="E57" i="7"/>
  <c r="E58" i="7"/>
  <c r="F56" i="7"/>
  <c r="F57" i="7"/>
  <c r="F58" i="7"/>
  <c r="F59" i="7"/>
  <c r="G59" i="7"/>
  <c r="H59" i="7"/>
  <c r="N59" i="7"/>
  <c r="C56" i="7"/>
  <c r="C57" i="7"/>
  <c r="C58" i="7"/>
  <c r="E59" i="7"/>
  <c r="G52" i="7"/>
  <c r="H52" i="7"/>
  <c r="N50" i="7"/>
  <c r="N51" i="7"/>
  <c r="N52" i="7"/>
  <c r="D48" i="7"/>
  <c r="E48" i="7"/>
  <c r="F48" i="7"/>
  <c r="G48" i="7"/>
  <c r="H48" i="7"/>
  <c r="I48" i="7"/>
  <c r="J48" i="7"/>
  <c r="K48" i="7"/>
  <c r="L48" i="7"/>
  <c r="M48" i="7"/>
  <c r="N48" i="7"/>
  <c r="C48" i="7"/>
  <c r="D42" i="7"/>
  <c r="D27" i="2"/>
  <c r="D31" i="2"/>
  <c r="D43" i="7"/>
  <c r="E42" i="7"/>
  <c r="E27" i="2"/>
  <c r="E31" i="2"/>
  <c r="E43" i="7"/>
  <c r="F42" i="7"/>
  <c r="F27" i="2"/>
  <c r="F31" i="2"/>
  <c r="F43" i="7"/>
  <c r="G44" i="7"/>
  <c r="H44" i="7"/>
  <c r="I44" i="7"/>
  <c r="C42" i="7"/>
  <c r="C27" i="2"/>
  <c r="C31" i="2"/>
  <c r="C43" i="7"/>
  <c r="F44" i="7"/>
  <c r="N30" i="7"/>
  <c r="D29" i="7"/>
  <c r="G30" i="7"/>
  <c r="E29" i="7"/>
  <c r="H30" i="7"/>
  <c r="C29" i="7"/>
  <c r="F30" i="7"/>
  <c r="J25" i="7"/>
  <c r="K25" i="7"/>
  <c r="L25" i="7"/>
  <c r="M25" i="7"/>
  <c r="N25" i="7"/>
  <c r="D18" i="7"/>
  <c r="E18" i="7"/>
  <c r="F18" i="7"/>
  <c r="G18" i="7"/>
  <c r="H18" i="7"/>
  <c r="I18" i="7"/>
  <c r="C18" i="7"/>
  <c r="I33" i="1"/>
  <c r="I26" i="1"/>
  <c r="I36" i="1"/>
  <c r="E24" i="7"/>
  <c r="E23" i="7"/>
  <c r="E25" i="7"/>
  <c r="F24" i="7"/>
  <c r="F23" i="7"/>
  <c r="F25" i="7"/>
  <c r="G24" i="7"/>
  <c r="G23" i="7"/>
  <c r="G25" i="7"/>
  <c r="H24" i="7"/>
  <c r="H23" i="7"/>
  <c r="H25" i="7"/>
  <c r="I24" i="7"/>
  <c r="I23" i="7"/>
  <c r="I25" i="7"/>
  <c r="D24" i="7"/>
  <c r="D23" i="7"/>
  <c r="D25" i="7"/>
  <c r="C9" i="7"/>
  <c r="D4" i="7"/>
  <c r="D9" i="7"/>
  <c r="E4" i="7"/>
  <c r="E9" i="7"/>
  <c r="F4" i="7"/>
  <c r="F9" i="7"/>
  <c r="G4" i="7"/>
  <c r="G9" i="7"/>
  <c r="H4" i="7"/>
  <c r="H9" i="7"/>
  <c r="I4" i="7"/>
  <c r="D7" i="7"/>
  <c r="D5" i="7"/>
  <c r="E7" i="7"/>
  <c r="E5" i="7"/>
  <c r="F7" i="7"/>
  <c r="F5" i="7"/>
  <c r="G7" i="7"/>
  <c r="G5" i="7"/>
  <c r="H7" i="7"/>
  <c r="H5" i="7"/>
  <c r="I7" i="7"/>
  <c r="I5" i="7"/>
  <c r="D6" i="7"/>
  <c r="E6" i="7"/>
  <c r="F6" i="7"/>
  <c r="G6" i="7"/>
  <c r="H6" i="7"/>
  <c r="I6" i="7"/>
  <c r="J6" i="7"/>
  <c r="K6" i="7"/>
  <c r="L6" i="7"/>
  <c r="M6" i="7"/>
  <c r="N6" i="7"/>
  <c r="D8" i="7"/>
  <c r="E8" i="7"/>
  <c r="F8" i="7"/>
  <c r="G8" i="7"/>
  <c r="H8" i="7"/>
  <c r="I8" i="7"/>
  <c r="J8" i="7"/>
  <c r="K8" i="7"/>
  <c r="L8" i="7"/>
  <c r="M8" i="7"/>
  <c r="N8" i="7"/>
  <c r="N4" i="1"/>
  <c r="K38" i="1"/>
  <c r="L38" i="1"/>
  <c r="M38" i="1"/>
  <c r="N38" i="1"/>
  <c r="J38" i="1"/>
  <c r="K24" i="1"/>
  <c r="L24" i="1"/>
  <c r="M24" i="1"/>
  <c r="N24" i="1"/>
  <c r="J24" i="1"/>
  <c r="J22" i="1"/>
  <c r="J39" i="1"/>
  <c r="K39" i="1"/>
  <c r="L39" i="1"/>
  <c r="M39" i="1"/>
  <c r="N39" i="1"/>
  <c r="J34" i="1"/>
  <c r="K34" i="1"/>
  <c r="L34" i="1"/>
  <c r="M34" i="1"/>
  <c r="N34" i="1"/>
  <c r="K27" i="1"/>
  <c r="L27" i="1"/>
  <c r="M27" i="1"/>
  <c r="N27" i="1"/>
  <c r="K36" i="1"/>
  <c r="L36" i="1"/>
  <c r="K22" i="1"/>
  <c r="L22" i="1"/>
  <c r="N36" i="1"/>
  <c r="M36" i="1"/>
  <c r="J36" i="1"/>
  <c r="B8" i="4"/>
  <c r="J27" i="1"/>
  <c r="M22" i="1"/>
  <c r="N22" i="1"/>
  <c r="B7" i="4"/>
  <c r="J18" i="1"/>
  <c r="K18" i="1"/>
  <c r="L18" i="1"/>
  <c r="M18" i="1"/>
  <c r="N18" i="1"/>
  <c r="K15" i="1"/>
  <c r="L15" i="1"/>
  <c r="M15" i="1"/>
  <c r="M16" i="1"/>
  <c r="N15" i="1"/>
  <c r="N16" i="1"/>
  <c r="J15" i="1"/>
  <c r="J16" i="1"/>
  <c r="K16" i="1"/>
  <c r="L16" i="1"/>
  <c r="D4" i="6"/>
  <c r="D5" i="6"/>
  <c r="D6" i="6"/>
  <c r="D7" i="6"/>
  <c r="J4" i="1"/>
  <c r="K4" i="1"/>
  <c r="K10" i="1"/>
  <c r="K5" i="1"/>
  <c r="L5" i="1"/>
  <c r="M5" i="1"/>
  <c r="N5" i="1"/>
  <c r="D33" i="3"/>
  <c r="B6" i="4"/>
  <c r="K11" i="1"/>
  <c r="K12" i="1"/>
  <c r="K14" i="1"/>
  <c r="J11" i="1"/>
  <c r="J10" i="1"/>
  <c r="J12" i="1"/>
  <c r="L4" i="1"/>
  <c r="D15" i="5"/>
  <c r="E15" i="5"/>
  <c r="F15" i="5"/>
  <c r="G15" i="5"/>
  <c r="H15" i="5"/>
  <c r="I15" i="5"/>
  <c r="C15" i="5"/>
  <c r="D14" i="5"/>
  <c r="E14" i="5"/>
  <c r="F14" i="5"/>
  <c r="G14" i="5"/>
  <c r="H14" i="5"/>
  <c r="I14" i="5"/>
  <c r="C14" i="5"/>
  <c r="E11" i="5"/>
  <c r="I11" i="5"/>
  <c r="H11" i="5"/>
  <c r="G11" i="5"/>
  <c r="F11" i="5"/>
  <c r="I10" i="5"/>
  <c r="H10" i="5"/>
  <c r="G10" i="5"/>
  <c r="F10" i="5"/>
  <c r="E10" i="5"/>
  <c r="C11" i="5"/>
  <c r="D11" i="5"/>
  <c r="D10" i="5"/>
  <c r="C10" i="5"/>
  <c r="C7" i="5"/>
  <c r="M4" i="1"/>
  <c r="L11" i="1"/>
  <c r="L10" i="1"/>
  <c r="L12" i="1"/>
  <c r="L14" i="1"/>
  <c r="H32" i="2"/>
  <c r="M11" i="1"/>
  <c r="M10" i="1"/>
  <c r="M12" i="1"/>
  <c r="M14" i="1"/>
  <c r="E32" i="2"/>
  <c r="D32" i="2"/>
  <c r="G32" i="2"/>
  <c r="I32" i="2"/>
  <c r="C32" i="2"/>
  <c r="F32" i="2"/>
  <c r="B9" i="4"/>
  <c r="N10" i="1"/>
  <c r="N11" i="1"/>
  <c r="D38" i="1"/>
  <c r="D7" i="5"/>
  <c r="C16" i="1"/>
  <c r="D16" i="1"/>
  <c r="E16" i="1"/>
  <c r="D33" i="1"/>
  <c r="E33" i="1"/>
  <c r="F33" i="1"/>
  <c r="F36" i="1"/>
  <c r="G33" i="1"/>
  <c r="H33" i="1"/>
  <c r="C33" i="1"/>
  <c r="C39" i="1"/>
  <c r="D30" i="1"/>
  <c r="E30" i="1"/>
  <c r="F30" i="1"/>
  <c r="G30" i="1"/>
  <c r="H30" i="1"/>
  <c r="I30" i="1"/>
  <c r="C30" i="1"/>
  <c r="D27" i="1"/>
  <c r="E27" i="1"/>
  <c r="F27" i="1"/>
  <c r="G27" i="1"/>
  <c r="H27" i="1"/>
  <c r="I27" i="1"/>
  <c r="C27" i="1"/>
  <c r="D18" i="1"/>
  <c r="E18" i="1"/>
  <c r="F18" i="1"/>
  <c r="G18" i="1"/>
  <c r="H18" i="1"/>
  <c r="I18" i="1"/>
  <c r="C18" i="1"/>
  <c r="E14" i="1"/>
  <c r="D14" i="1"/>
  <c r="E5" i="1"/>
  <c r="F5" i="1"/>
  <c r="G5" i="1"/>
  <c r="H5" i="1"/>
  <c r="I5" i="1"/>
  <c r="D5" i="1"/>
  <c r="C20" i="1"/>
  <c r="C21" i="1"/>
  <c r="C16" i="5"/>
  <c r="D20" i="1"/>
  <c r="D21" i="1"/>
  <c r="D16" i="5"/>
  <c r="E20" i="1"/>
  <c r="E21" i="1"/>
  <c r="E16" i="5"/>
  <c r="F20" i="1"/>
  <c r="F21" i="1"/>
  <c r="F16" i="5"/>
  <c r="G20" i="1"/>
  <c r="G21" i="1"/>
  <c r="G16" i="5"/>
  <c r="H20" i="1"/>
  <c r="H21" i="1"/>
  <c r="H16" i="5"/>
  <c r="F12" i="1"/>
  <c r="F14" i="1"/>
  <c r="G12" i="1"/>
  <c r="G16" i="1"/>
  <c r="H12" i="1"/>
  <c r="H16" i="1"/>
  <c r="I20" i="1"/>
  <c r="I21" i="1"/>
  <c r="I16" i="5"/>
  <c r="I12" i="1"/>
  <c r="I16" i="1"/>
  <c r="I14" i="1"/>
  <c r="J14" i="1"/>
  <c r="N12" i="1"/>
  <c r="N14" i="1"/>
  <c r="E38" i="1"/>
  <c r="E6" i="5"/>
  <c r="C36" i="1"/>
  <c r="F35" i="1"/>
  <c r="F17" i="5"/>
  <c r="F18" i="5"/>
  <c r="F19" i="5"/>
  <c r="E36" i="1"/>
  <c r="I19" i="5"/>
  <c r="I18" i="5"/>
  <c r="H36" i="1"/>
  <c r="H18" i="5"/>
  <c r="H19" i="5"/>
  <c r="D35" i="1"/>
  <c r="D17" i="5"/>
  <c r="D18" i="5"/>
  <c r="D19" i="5"/>
  <c r="D6" i="5"/>
  <c r="C35" i="1"/>
  <c r="C17" i="5"/>
  <c r="C19" i="5"/>
  <c r="C18" i="5"/>
  <c r="C6" i="5"/>
  <c r="G35" i="1"/>
  <c r="G17" i="5"/>
  <c r="G18" i="5"/>
  <c r="G19" i="5"/>
  <c r="E35" i="1"/>
  <c r="E17" i="5"/>
  <c r="E18" i="5"/>
  <c r="E19" i="5"/>
  <c r="D39" i="1"/>
  <c r="G36" i="1"/>
  <c r="D36" i="1"/>
  <c r="I22" i="1"/>
  <c r="H22" i="1"/>
  <c r="C22" i="1"/>
  <c r="F22" i="1"/>
  <c r="E22" i="1"/>
  <c r="D22" i="1"/>
  <c r="G22" i="1"/>
  <c r="F16" i="1"/>
  <c r="E34" i="1"/>
  <c r="I34" i="1"/>
  <c r="F34" i="1"/>
  <c r="D34" i="1"/>
  <c r="H14" i="1"/>
  <c r="G34" i="1"/>
  <c r="H34" i="1"/>
  <c r="I35" i="1"/>
  <c r="I17" i="5"/>
  <c r="H35" i="1"/>
  <c r="H17" i="5"/>
  <c r="G14" i="1"/>
  <c r="E7" i="5"/>
  <c r="F38" i="1"/>
  <c r="E39" i="1"/>
  <c r="E33" i="3"/>
  <c r="F7" i="5"/>
  <c r="G38" i="1"/>
  <c r="F6" i="5"/>
  <c r="F39" i="1"/>
  <c r="F33" i="3"/>
  <c r="G39" i="1"/>
  <c r="G7" i="5"/>
  <c r="G6" i="5"/>
  <c r="H38" i="1"/>
  <c r="G33" i="3"/>
  <c r="I38" i="1"/>
  <c r="H7" i="5"/>
  <c r="H6" i="5"/>
  <c r="H39" i="1"/>
  <c r="H33" i="3"/>
  <c r="I6" i="5"/>
  <c r="I7" i="5"/>
  <c r="I39" i="1"/>
  <c r="J33" i="3"/>
  <c r="I33" i="3"/>
  <c r="B10" i="4"/>
  <c r="N34" i="7"/>
  <c r="N36" i="7"/>
  <c r="N37" i="7"/>
  <c r="N43" i="7"/>
  <c r="J18" i="2"/>
  <c r="J32" i="2"/>
  <c r="K33" i="3"/>
  <c r="J18" i="7"/>
  <c r="L18" i="7"/>
  <c r="M18" i="7"/>
  <c r="N18" i="7"/>
  <c r="K18" i="7"/>
  <c r="B11" i="4"/>
  <c r="B4" i="4"/>
  <c r="L33" i="3"/>
  <c r="M33" i="3"/>
  <c r="N33" i="3"/>
  <c r="O33" i="3"/>
  <c r="N18" i="2"/>
  <c r="N32" i="2"/>
  <c r="M18" i="2"/>
  <c r="M32" i="2"/>
  <c r="L18" i="2"/>
  <c r="L32" i="2"/>
  <c r="K18" i="2"/>
  <c r="K32" i="2"/>
</calcChain>
</file>

<file path=xl/sharedStrings.xml><?xml version="1.0" encoding="utf-8"?>
<sst xmlns="http://schemas.openxmlformats.org/spreadsheetml/2006/main" count="674" uniqueCount="353">
  <si>
    <t>Other Income</t>
  </si>
  <si>
    <t>Contribution to Core SGF</t>
  </si>
  <si>
    <t>Tax</t>
  </si>
  <si>
    <t>Revenue</t>
  </si>
  <si>
    <t>COGS</t>
  </si>
  <si>
    <t>Gross Margins</t>
  </si>
  <si>
    <t>Change in Inventory</t>
  </si>
  <si>
    <t>Employee Benefit Expenses</t>
  </si>
  <si>
    <t>Other Expenses</t>
  </si>
  <si>
    <t>OPM</t>
  </si>
  <si>
    <t>D&amp;A</t>
  </si>
  <si>
    <t xml:space="preserve">EBIT </t>
  </si>
  <si>
    <t>EBIT Margins</t>
  </si>
  <si>
    <t>PBT</t>
  </si>
  <si>
    <t>PBT Margins</t>
  </si>
  <si>
    <t>PAT</t>
  </si>
  <si>
    <t>NPM</t>
  </si>
  <si>
    <t>EPS</t>
  </si>
  <si>
    <t>YEAR</t>
  </si>
  <si>
    <t>Total Operating expenses</t>
  </si>
  <si>
    <t>Growth</t>
  </si>
  <si>
    <t>EBITDA / Operating Profit</t>
  </si>
  <si>
    <t>Tax %</t>
  </si>
  <si>
    <t xml:space="preserve">Loss from Discounted Operations </t>
  </si>
  <si>
    <t>MASTER ERROR CHECK</t>
  </si>
  <si>
    <t xml:space="preserve"> ERROR CHECK</t>
  </si>
  <si>
    <t>TO CHECK EBITDA</t>
  </si>
  <si>
    <t>TO CHECK PAT</t>
  </si>
  <si>
    <t>BALANCE SHEET</t>
  </si>
  <si>
    <t>[Cell containing your listed EBITDA] - ([Cell for Revenue] - [Cell for Total Operating Expenses])</t>
  </si>
  <si>
    <t>[Cell containing your listed EBIT] - ([Cell for EBITDA] - [Cell for D&amp;A])</t>
  </si>
  <si>
    <t>[Cell for PAT] - ([Cell for PBT] - [Cell for Tax] - [Cell for Loss from Disc. Ops])</t>
  </si>
  <si>
    <t>ERROR CHECK PAT</t>
  </si>
  <si>
    <t>ERROR CHECK EBIT</t>
  </si>
  <si>
    <t>ERROR CHECK EBITDA</t>
  </si>
  <si>
    <t>Shares Outstading</t>
  </si>
  <si>
    <t>Reserves</t>
  </si>
  <si>
    <t>Total Equity</t>
  </si>
  <si>
    <t>Other Non-current Liabilities</t>
  </si>
  <si>
    <t>Total Non-Current  Liabilities</t>
  </si>
  <si>
    <t>Other Current Liabilities</t>
  </si>
  <si>
    <t>Total Current Liabilities</t>
  </si>
  <si>
    <t>Settlement Gaurantee Fund (SGF)</t>
  </si>
  <si>
    <t>Equity + Liabilities</t>
  </si>
  <si>
    <t>Fixed Assets</t>
  </si>
  <si>
    <t>Other Non Current Assets</t>
  </si>
  <si>
    <t>Total Non-Current assets</t>
  </si>
  <si>
    <t>Trade Receivables</t>
  </si>
  <si>
    <t>Cash and Cash Equivalent</t>
  </si>
  <si>
    <t>Other Current assets</t>
  </si>
  <si>
    <t>Total Current Assets</t>
  </si>
  <si>
    <t>Assets classified as held for sale</t>
  </si>
  <si>
    <t>Total Assets</t>
  </si>
  <si>
    <t>Equity Capital</t>
  </si>
  <si>
    <t>ERROR CHECK  ASSET - [EQUITY + LIABILITIES]</t>
  </si>
  <si>
    <t>TO CHECK ASSET - [EQUITY + LIABILITIES]</t>
  </si>
  <si>
    <t>INCOME STATEMENT</t>
  </si>
  <si>
    <t>ASSET - [EQUITY + LIABILITIES]</t>
  </si>
  <si>
    <t>RATIOS / YEAR</t>
  </si>
  <si>
    <t>ROE</t>
  </si>
  <si>
    <t>ROA</t>
  </si>
  <si>
    <t>notes</t>
  </si>
  <si>
    <t>Cash from Operations</t>
  </si>
  <si>
    <t>Net Income / PAT</t>
  </si>
  <si>
    <t>from  income statement</t>
  </si>
  <si>
    <t>Change in Trade Receivables</t>
  </si>
  <si>
    <t>Change in Other Current Assets</t>
  </si>
  <si>
    <t>Change in Other Current Liabilities</t>
  </si>
  <si>
    <t>Change in Settlement Guarantee Fund [SGF]</t>
  </si>
  <si>
    <t>current year - prior year</t>
  </si>
  <si>
    <t xml:space="preserve"> prior year -current year</t>
  </si>
  <si>
    <t>Total Cash from Operations</t>
  </si>
  <si>
    <t>Cash from Finance</t>
  </si>
  <si>
    <t>Capex</t>
  </si>
  <si>
    <t>Change in Other Non-Current Assets</t>
  </si>
  <si>
    <t>Changein Assets Classified as held for sale</t>
  </si>
  <si>
    <t>Total Cash from Finance</t>
  </si>
  <si>
    <t>-(Ending Other Non-Current Assets for Current Year - Ending Other Non-Current Assets for Prior Year)</t>
  </si>
  <si>
    <t>-(Ending Assets Held for Sale for Current Year - Ending Assets Held for Sale for Prior Year)</t>
  </si>
  <si>
    <t>Cash from Investing</t>
  </si>
  <si>
    <t>Total Cash from Investing</t>
  </si>
  <si>
    <t>Net Change in Debt/Borrowings</t>
  </si>
  <si>
    <t>Net Cash from Equity Issuances/Repurchases</t>
  </si>
  <si>
    <t>Dividends Paid</t>
  </si>
  <si>
    <t>Ending "Borrowings" - Beginning "Borrowings"</t>
  </si>
  <si>
    <t>(Cash Proceeds from New Shares Issued - Cash Paid for Shares Repurchased)</t>
  </si>
  <si>
    <t>Beginning Cash</t>
  </si>
  <si>
    <t>Change in Cash</t>
  </si>
  <si>
    <t>Ending cash</t>
  </si>
  <si>
    <t>ERROR CHECK CASH FLOW</t>
  </si>
  <si>
    <t>PAT - (Ending Total Equity - Beginning Total Equity) [due to prefrence shares being absent] [negative]</t>
  </si>
  <si>
    <t>[(Ending Fixed Assets for Current Year - Ending Fixed Assets for Prior Year) + D&amp;A for Current Year] [negative]</t>
  </si>
  <si>
    <t>Change in other Non-Current Liabilities</t>
  </si>
  <si>
    <t>TO CHECK CASH FLOW</t>
  </si>
  <si>
    <t>CASH FLOW</t>
  </si>
  <si>
    <t>ENDING CASH - CASH&amp;CASH EQUIVALENT</t>
  </si>
  <si>
    <t>ACTUAL</t>
  </si>
  <si>
    <t>FOCASTED</t>
  </si>
  <si>
    <t>REASONING</t>
  </si>
  <si>
    <t xml:space="preserve">NO INVENTORY </t>
  </si>
  <si>
    <t>CATEGORY</t>
  </si>
  <si>
    <t>LINE ITEM</t>
  </si>
  <si>
    <t>REVENUE</t>
  </si>
  <si>
    <t>ASSUMED VALUES</t>
  </si>
  <si>
    <t>ASSUMING LINEAR REDUCTION OF GRWOTH BY 1.5%</t>
  </si>
  <si>
    <t xml:space="preserve">"FY2026 REVENUE GROWTH FORECAST AT 21.0%, DERIVED FROM AN ~11.0% NOMINAL GDP GROWTH BASELINE PLUS A ~10.0% PREMIUM DRIVEN BY STRONG ANTICIPATED EXPANSION IN THE DERIVATIVES MARKET (EST. 20-25%+ GROWTH), CONTINUED FINANCIAL DEEPENING IN INDIA, AND ROBUST OVERALL MARKET PARTICIPATION."
</t>
  </si>
  <si>
    <t>REASONING FOR ASSUMPTION</t>
  </si>
  <si>
    <t>VIEW ASSUMPTIONS AND REASONING FILE</t>
  </si>
  <si>
    <t>COGS: ₹0; SERVICE-BASED OPERATIONS.</t>
  </si>
  <si>
    <t>EMPLOYEE BENEFIT EXPENSES (% OF REVENUE): 3.5%; ASSUMED STABLE AT RECENT NORMALIZED HISTORICAL AVERAGE (FY2023-FY2025).</t>
  </si>
  <si>
    <t>OTHER EXPENSES ARE PROJECTED AT 19.63% OF REVENUE, CALCULATED AS THE AVERAGE OF THE RATES FROM THE TWO MOST RECENT FISCAL YEARS (FY2024: 18.33%, FY2025: 20.93%). THIS APPROACH CAPTURES THE CURRENT OPERATIONAL COST STRUCTURE, WHICH INCLUDES LIKELY ONGOING INVESTMENTS IN TECHNOLOGY, BUSINESS DEVELOPMENT, AND COMPLIANCE CRUCIAL FOR A GROWING EXCHANGE, WHILE SMOOTHING OUT SINGLE-YEAR FLUCTUATIONS. IT IS ASSUMED THESE COSTS WILL SCALE PROPORTIONALLY WITH REVENUE, LEADING TO AN IMPLIED EBITDA MARGIN OF APPROXIMATELY 76.9%, CONSISTENT WITH NSE'S RECENT STRONG HISTORICAL PROFITABILITY.</t>
  </si>
  <si>
    <t>SUM OF ABOVE</t>
  </si>
  <si>
    <t>Growth IN Operating Expenses</t>
  </si>
  <si>
    <t>Revenue - Total Operating expenses</t>
  </si>
  <si>
    <t>Capex Forcasting</t>
  </si>
  <si>
    <t>Ending Net fixed Assets</t>
  </si>
  <si>
    <t>Beginning Net Fixed Assets</t>
  </si>
  <si>
    <t>Capex as part of Revenue</t>
  </si>
  <si>
    <t>Median of last 6 Historical values</t>
  </si>
  <si>
    <t>D&amp;A Rate (as % of Avg. Base)</t>
  </si>
  <si>
    <t>Depreciation &amp; Amortization (D&amp;A) for the forecast period is projected at 33.0% of an average depreciable asset base. This base is calculated as Beginning Net Fixed Assets + (0.5 * CAPEX) to ensure the D&amp;A forecast is fundamentally linked to both the existing asset base and new capital investments. The 0.5 * CAPEX component incorporates a standard mid-year convention, assuming that new assets acquired during the year are, on average, in service for half of that period. The 33.0% rate itself was chosen because it reflects the stable recent historical average of this specific calculation for NSE over the FY2023-FY2025 period, providing a robust, data-driven basis for the forecast.</t>
  </si>
  <si>
    <t>VIEW FORCAST SCHEDULES</t>
  </si>
  <si>
    <t>EBITDA -D&amp;A</t>
  </si>
  <si>
    <r>
      <t xml:space="preserve">This rate is based on the </t>
    </r>
    <r>
      <rPr>
        <b/>
        <sz val="11"/>
        <color theme="1"/>
        <rFont val="Aptos Narrow"/>
        <family val="2"/>
        <scheme val="minor"/>
      </rPr>
      <t>average historical year-over-year growth of "Other Income" from FY2020-FY2025</t>
    </r>
    <r>
      <rPr>
        <sz val="11"/>
        <color theme="1"/>
        <rFont val="Aptos Narrow"/>
        <family val="2"/>
        <scheme val="minor"/>
      </rPr>
      <t>, reflecting the recent trend in this revenue stream.</t>
    </r>
  </si>
  <si>
    <t>THIS LINE ITEM IS HIGHLY VOLATILE AND NON-RECURRING IN HISTORICAL FINANCIALS (E.G., PERIODS OF ZERO AND NEGATIVE VALUES), INDICATING IT'S NOT A PREDICTABLE OPERATIONAL EXPENSE. CONTRIBUTIONS TO THE SGF ARE PRIMARILY DRIVEN BY REGULATORY REQUIREMENTS AND THE FUND'S OWN INTERNAL DYNAMICS (E.G., MEMBER CONTRIBUTIONS, INVESTMENT INCOME), NOT CONSISTENT CORE BUSINESS OPERATIONS. FOR VALUATION, MAINTAINING A CLEAN INCOME STATEMENT FOCUSED ON RECURRING OPERATING PROFITABILITY, WHILE ADDRESSING THE CRITICAL SGF BALANCE AS A BALANCE SHEET ITEM (TO BE LINKED TO DRIVERS LIKE TRADING VOLUMES AND REGULATORY NEEDS), IS THE MOST ACCURATE AND CONSERVATIVE MODELING PRACTICE. THIS APPROACH ENSURES TRANSPARENT BASE-CASE FINANCIALS, WITH SPECIFIC SGF ADJUSTMENTS TO BE ADDRESSED VIA THE BALANCE SHEET AND POTENTIALLY IN SCENARIO ANALYSIS.</t>
  </si>
  <si>
    <t>The 25% tax rate forecast is a stable, long-term assumption aligned with the company's FY2025 rate and typical for large, profitable Indian companies. This rate accounts for the standard 25% corporate tax base, surcharges, and a 4% cess, and is considered a simplified yet robust forecast despite the option for a lower 22% rate under Section 115BAA, which requires forgoing deductions.</t>
  </si>
  <si>
    <t>THIS LINE ITEM REPRESENTS GAINS OR LOSSES FROM BUSINESS SEGMENTS THAT HAVE BEEN SOLD, ABANDONED, OR HELD FOR SALE. ITS HIGHLY VOLATILE AND NON-RECURRING NATURE IN HISTORICAL FINANCIALS MAKES IT UNPREDICTABLE. FOR VALUATION, THE MOST ACCURATE AND CONSERVATIVE MODELING PRACTICE IS TO ASSUME A VALUE OF ZERO FOR ALL FORECASTED PERIODS. THIS APPROACH MAINTAINS A CLEAN INCOME STATEMENT FOCUSED ON PROJECTING RECURRING OPERATING PROFITABILITY FROM THE COMPANY'S CORE BUSINESS, ENSURING THAT THE FORECASTED EARNINGS TRULY REFLECT THE ONGOING FINANCIAL PERFORMANCE AND SUSTAINABLE EARNINGS POWER.</t>
  </si>
  <si>
    <t>FOR THE BASE-CASE VALUATION, WE ASSUME A CONSTANT NUMBER OF SHARES OUTSTANDING. THIS IS A STANDARD PRACTICE AS IT AVOIDS SPECULATING ON FUTURE CORPORATE ACTIONS LIKE SHARE BUYBACKS OR NEW ISSUANCES. A STOCK SPLIT, WHILE INCREASING THE NUMBER OF SHARES, DOES NOT CHANGE THE COMPANY'S FUNDAMENTAL VALUE AND THEREFORE WOULD BE A NON-MATERIAL EVENT FOR THE MODEL'S CORE VALUATION. THIS ASSUMPTION ENSURES THE MODEL IS FOCUSED ON THE INTRINSIC VALUE DRIVEN BY CORE BUSINESS PERFORMANCE.</t>
  </si>
  <si>
    <t>EQUITY CAPITAL</t>
  </si>
  <si>
    <t>FOR THE BASE-CASE VALUATION, WE ASSUME A CONSTANT EQUITY CAPITAL OF ₹247.50. THE FACE VALUE OF THE SHARES WAS ADJUSTED FROM ₹0.20 TO ₹1.00 IN 2025, AND WE WILL MAINTAIN THIS VALUE GOING FORWARD. THIS ENSURES THE MODEL REMAINS CONSISTENT WITH THE CURRENT CAPITAL STRUCTURE AND AVOIDS SPECULATING ON FUTURE CORPORATE ACTIONS.</t>
  </si>
  <si>
    <t>Beginning Reserves</t>
  </si>
  <si>
    <t>PLUS: Net Income</t>
  </si>
  <si>
    <t>LESS: Dividends Paid</t>
  </si>
  <si>
    <t>Ending Reserves</t>
  </si>
  <si>
    <t xml:space="preserve">ERROR CHECK RESERVES </t>
  </si>
  <si>
    <t>Dividend Payout Ratio</t>
  </si>
  <si>
    <t>Dividends</t>
  </si>
  <si>
    <t>Payout Ratio</t>
  </si>
  <si>
    <t>This assumption is based on the average of the company's historical dividend payout ratios from 2020 to 2025, which ranged from 16% to 58%. Using a historical average is a standard, data-driven practice for a base-case model, as it smooths out year-to-year volatility and avoids speculating on future dividend policy. This ensures the model is grounded in the company's past performance and provides a stable basis for the forecast.</t>
  </si>
  <si>
    <t>Payout ratio * PAT</t>
  </si>
  <si>
    <t>Values from Forcast Schedules</t>
  </si>
  <si>
    <t>FORCAST SCHEDULES</t>
  </si>
  <si>
    <t>ENDING RESERVE = BEGINNING RESERVE + NI - DIVIDENDS PAID</t>
  </si>
  <si>
    <t>Reserve  Forcasting</t>
  </si>
  <si>
    <t>Share premium</t>
  </si>
  <si>
    <t>Capital Restructuring.</t>
  </si>
  <si>
    <r>
      <t xml:space="preserve">The historical dividends paid for 2025 were adjusted to exclude the </t>
    </r>
    <r>
      <rPr>
        <sz val="10"/>
        <color theme="1"/>
        <rFont val="Arial Unicode MS"/>
      </rPr>
      <t>₹198 crore</t>
    </r>
    <r>
      <rPr>
        <sz val="11"/>
        <color theme="1"/>
        <rFont val="Aptos Narrow"/>
        <family val="2"/>
        <scheme val="minor"/>
      </rPr>
      <t xml:space="preserve"> non-cash capital transaction related to the conversion of preferred shares into common equity. This ensures the dividends accurately reflect the operational outflow and that the Reserves forecast reconciles.</t>
    </r>
  </si>
  <si>
    <t>-</t>
  </si>
  <si>
    <r>
      <t xml:space="preserve">HISTORICAL ADJUSTMENT (2025 ONLY): THE </t>
    </r>
    <r>
      <rPr>
        <sz val="10"/>
        <color theme="1"/>
        <rFont val="Arial Unicode MS"/>
      </rPr>
      <t>₹198 CRORE</t>
    </r>
    <r>
      <rPr>
        <sz val="11"/>
        <color theme="1"/>
        <rFont val="Aptos Narrow"/>
        <family val="2"/>
        <scheme val="minor"/>
      </rPr>
      <t xml:space="preserve"> ADJUSTMENT WAS MADE IN 2025 TO REFLECT A ONE-TIME HISTORICAL EVENT RELATED TO THE CONVERSION OF PREFERRED SHARES INTO COMMON EQUITY. THIS ADJUSTMENT ENSURES THE HISTORICAL BALANCE SHEET IS MATHEMATICALLY CONSISTENT AND PROVIDES A PROPER STARTING POINT FOR THE FORECAST. THE HISTORICAL DIVIDENDS PAID FOR 2025 WERE ALSO ADJUSTED TO EXCLUDE THIS NON-CASH CAPITAL TRANSACTION.</t>
    </r>
  </si>
  <si>
    <t>Other Non-current Liabilities Forcast</t>
  </si>
  <si>
    <t>3y CAGR</t>
  </si>
  <si>
    <r>
      <t xml:space="preserve">The forecast for </t>
    </r>
    <r>
      <rPr>
        <sz val="10"/>
        <color theme="1"/>
        <rFont val="Arial Unicode MS"/>
      </rPr>
      <t>Other Non-current Liabilities</t>
    </r>
    <r>
      <rPr>
        <sz val="11"/>
        <color theme="1"/>
        <rFont val="Aptos Narrow"/>
        <family val="2"/>
        <scheme val="minor"/>
      </rPr>
      <t xml:space="preserve"> is based on a </t>
    </r>
    <r>
      <rPr>
        <b/>
        <sz val="11"/>
        <color theme="1"/>
        <rFont val="Aptos Narrow"/>
        <family val="2"/>
        <scheme val="minor"/>
      </rPr>
      <t>rolling 3-year Compound Annual Growth Rate (CAGR)</t>
    </r>
    <r>
      <rPr>
        <sz val="11"/>
        <color theme="1"/>
        <rFont val="Aptos Narrow"/>
        <family val="2"/>
        <scheme val="minor"/>
      </rPr>
      <t>. This methodology was selected because the historical values showed a clear, albeit volatile, growth trend. Using a rolling CAGR allows the forecast to remain dynamic and reflect the most recent growth trends without being constrained by a single, static historical growth rate. This assumption implies that the company's non-current liabilities will continue to grow in line with its recent historical performance.</t>
    </r>
  </si>
  <si>
    <t>Forecasted Value=Previous Year′s Value×(1+3−Year Rolling CAGR)</t>
  </si>
  <si>
    <t>3−Year Rolling CAGR=(Value from 3 Years AgoCurrent Year′s Value​)^(1/3)​−1</t>
  </si>
  <si>
    <t>Other current Liabilities Forcast</t>
  </si>
  <si>
    <t>Other current Liabilities</t>
  </si>
  <si>
    <t>OCL as % of Total Assets</t>
  </si>
  <si>
    <t>Forecasted Value = current year avg * total assets</t>
  </si>
  <si>
    <t>avg = (sum of previous 3 years%)/3</t>
  </si>
  <si>
    <t>Settlement Gaurantee Fund (SGF) Forcast</t>
  </si>
  <si>
    <t>Other Non Current Assets Forcast</t>
  </si>
  <si>
    <t>ONCA as % of  TNCA</t>
  </si>
  <si>
    <t>3Y AVG</t>
  </si>
  <si>
    <r>
      <t xml:space="preserve">The forecast for </t>
    </r>
    <r>
      <rPr>
        <sz val="10"/>
        <color theme="1"/>
        <rFont val="Arial Unicode MS"/>
      </rPr>
      <t>Other Non-Current Assets</t>
    </r>
    <r>
      <rPr>
        <sz val="11"/>
        <color theme="1"/>
        <rFont val="Aptos Narrow"/>
        <family val="2"/>
        <scheme val="minor"/>
      </rPr>
      <t xml:space="preserve"> is based on its historical relationship with </t>
    </r>
    <r>
      <rPr>
        <sz val="10"/>
        <color theme="1"/>
        <rFont val="Arial Unicode MS"/>
      </rPr>
      <t>Total Non-Current Assets</t>
    </r>
    <r>
      <rPr>
        <sz val="11"/>
        <color theme="1"/>
        <rFont val="Aptos Narrow"/>
        <family val="2"/>
        <scheme val="minor"/>
      </rPr>
      <t xml:space="preserve">. Given the line item's nature as a component of the total, the most logical and auditable approach is to project it as a percentage of </t>
    </r>
    <r>
      <rPr>
        <sz val="10"/>
        <color theme="1"/>
        <rFont val="Arial Unicode MS"/>
      </rPr>
      <t>Total Non-Current Assets</t>
    </r>
    <r>
      <rPr>
        <sz val="11"/>
        <color theme="1"/>
        <rFont val="Aptos Narrow"/>
        <family val="2"/>
        <scheme val="minor"/>
      </rPr>
      <t>. The forecasting assumption is derived from the average of the last three historical percentages, which captures the most recent trends.</t>
    </r>
  </si>
  <si>
    <t>avg = (sum of recent 3y %) / 3</t>
  </si>
  <si>
    <t>Forcasted Value = Previous Year TNCA * Previous year Avg</t>
  </si>
  <si>
    <t>Trade Receivables Forcast [DSO Method]</t>
  </si>
  <si>
    <t>DSO</t>
  </si>
  <si>
    <t>3Y AVG DSO</t>
  </si>
  <si>
    <r>
      <t xml:space="preserve">The forecast for </t>
    </r>
    <r>
      <rPr>
        <sz val="10"/>
        <color theme="1"/>
        <rFont val="Arial Unicode MS"/>
      </rPr>
      <t>Trade Receivables</t>
    </r>
    <r>
      <rPr>
        <sz val="11"/>
        <color theme="1"/>
        <rFont val="Aptos Narrow"/>
        <family val="2"/>
        <scheme val="minor"/>
      </rPr>
      <t xml:space="preserve"> is based on the </t>
    </r>
    <r>
      <rPr>
        <b/>
        <sz val="11"/>
        <color theme="1"/>
        <rFont val="Aptos Narrow"/>
        <family val="2"/>
        <scheme val="minor"/>
      </rPr>
      <t>Days Sales Outstanding (DSO)</t>
    </r>
    <r>
      <rPr>
        <sz val="11"/>
        <color theme="1"/>
        <rFont val="Aptos Narrow"/>
        <family val="2"/>
        <scheme val="minor"/>
      </rPr>
      <t xml:space="preserve"> method, which links receivables to the company's revenue and collection period. To capture recent trends and provide a more dynamic forecast, the DSO assumption is not held static. Instead, it is based on a </t>
    </r>
    <r>
      <rPr>
        <b/>
        <sz val="11"/>
        <color theme="1"/>
        <rFont val="Aptos Narrow"/>
        <family val="2"/>
        <scheme val="minor"/>
      </rPr>
      <t>3-year rolling average</t>
    </r>
    <r>
      <rPr>
        <sz val="11"/>
        <color theme="1"/>
        <rFont val="Aptos Narrow"/>
        <family val="2"/>
        <scheme val="minor"/>
      </rPr>
      <t xml:space="preserve"> of the company's historical DSO. This approach allows the forecast to evolve with the company's revenue and collection efficiency.</t>
    </r>
  </si>
  <si>
    <t>Forcasted Value = [Current Year Revenue * Previous Year Avg dso] / 365</t>
  </si>
  <si>
    <t>DSO  = [ Trade Receivables*365] / Revenue</t>
  </si>
  <si>
    <t>3Y AVG DSO =  (sum of recent 3y DSO) / 3</t>
  </si>
  <si>
    <t>Total Liabilities</t>
  </si>
  <si>
    <t>Forecasted Value = Previous  year avg *  Previous total assets</t>
  </si>
  <si>
    <t>avg = (sum of Current 3 years%)/3</t>
  </si>
  <si>
    <t>The forecast for Other Current Liabilities is based on its historical relationship with Total Liabilities, a standard best practice in financial modeling. The forecast assumes Other Current Liabilities will remain a static percentage of Total Liabilities, derived from the average of the last three historical years' percentages. This approach provides a consistent and conservative growth assumption that normalizes the recent volatility and ensures a stable forecast.</t>
  </si>
  <si>
    <t>The forecast for Settlement Guarantee Fund is based on its logical relationship with Total Liabilities. To account for the historical volatility of this line item, a 3-year rolling average is used as the forecasting assumption. This dynamic approach ensures the model's projections remain responsive to recent trends in the company's financial structure while adhering to financial modeling best practices by avoiding circular references.</t>
  </si>
  <si>
    <t>OCA as % of Revenue</t>
  </si>
  <si>
    <t>rolling 3y AVG</t>
  </si>
  <si>
    <t>The forecast for Other Current Assets is driven by a strong correlation to Revenue. To account for the historical volatility in this relationship, likely due to external factors, the forecasting assumption is based on a 3-year rolling average of Other Current Assets as a percentage of Revenue. This methodology smooths out short-term fluctuations and bases the forecast on the company's most recent operational trend.</t>
  </si>
  <si>
    <t xml:space="preserve">Forcasted Value = [Current Year Revenue * Previous Year Avg ] </t>
  </si>
  <si>
    <t>FOR THE FORECAST PERIOD, ASSETS CLASSIFIED AS HELD FOR SALE ARE ASSUMED TO BE ₹0. THIS IS A STANDARD BASE-CASE ASSUMPTION THAT REFLECTS THE NON-RECURRING NATURE OF THESE ASSETS AND THE EXPECTATION THAT THEY WILL BE SOLD, THUS NO LONGER APPEARING ON THE BALANCE SHEET.</t>
  </si>
  <si>
    <t>Total Change in Net Working Capital</t>
  </si>
  <si>
    <t>Net Income</t>
  </si>
  <si>
    <t>Total Change in Net Working Capital = sum of all changes</t>
  </si>
  <si>
    <t xml:space="preserve">FCFF / FCFE </t>
  </si>
  <si>
    <t>Free Cash Flow to Firm (FCFF) represents the cash flow available to all capital providers of the NSE—both its debt and equity holders—before any debt payments are made. Free Cash Flow to Equity (FCFE), on the other hand, is the cash flow available only to the NSE's equity holders after all debt obligations have been met. The key distinction between these two metrics is the presence of debt. Since the NSE is a debt-free company, there is no interest expense to subtract or net change in borrowings to add, which simplifies the FCFE formula, making it equal to the FCFF. This is why for the NSE, FCFF and FCFE are the same.</t>
  </si>
  <si>
    <t>FCFF = Net Income + D&amp;A - Change in Net Working Capital - Capex</t>
  </si>
  <si>
    <t>Cost of Equity Componenets</t>
  </si>
  <si>
    <t>values</t>
  </si>
  <si>
    <t>The reasoning for using 6.49% as the risk-free rate for this valuation is that it is the most credible and defensible proxy available. This value, as of September 16, 2025, is the yield on the India 10-year Government Bond. We use this specific benchmark because it is issued by the sovereign government, implying it has virtually no risk of default, and its 10-year maturity aligns appropriately with the long-term nature of our DCF analysis. By anchoring our model to this objective and transparent data point, we ensure our WACC calculation is built on sound financial principles and can be easily verified.</t>
  </si>
  <si>
    <t>Market Risk Premium (MRP)</t>
  </si>
  <si>
    <t>Risk-free Rate (Rf)</t>
  </si>
  <si>
    <t>"The Market Risk Premium (MRP) of 5.15% is based on the historical methodology. This value is derived by calculating the difference between the long-term annualized return of the Indian market and its corresponding long-term average risk-free rate. The annualized return of the Nifty 50 over its 29-year history is approximately 11.64%, while the long-term average 10-year Indian Government Bond yield is assumed to be 6.49%. This method is a data-driven approach that provides a robust, transparent, and defensible benchmark for the premium required by investors for assuming market risk."</t>
  </si>
  <si>
    <t>Beta (β)</t>
  </si>
  <si>
    <t>Corporate Tax Rate</t>
  </si>
  <si>
    <t>Cost of Debt Componenets</t>
  </si>
  <si>
    <t>Capital Stucture</t>
  </si>
  <si>
    <t>Market Value of Equity (E)</t>
  </si>
  <si>
    <t>Market Value of Debt (D)</t>
  </si>
  <si>
    <t>Company</t>
  </si>
  <si>
    <t>Ticker</t>
  </si>
  <si>
    <t>Levered Beta</t>
  </si>
  <si>
    <t>D/E Ratio</t>
  </si>
  <si>
    <t>Unlevered Beta</t>
  </si>
  <si>
    <t>B.S.E Ltd.</t>
  </si>
  <si>
    <t>Multi commodity Exchange</t>
  </si>
  <si>
    <t>Central Depository Services</t>
  </si>
  <si>
    <t>BSE</t>
  </si>
  <si>
    <t>MCX</t>
  </si>
  <si>
    <t>CDSL</t>
  </si>
  <si>
    <t>Average Unlevered Beta</t>
  </si>
  <si>
    <t>The Beta of 0.23 was derived from a comparable company analysis of BSE, MCX, and CDSL. As the target company is privately held, this methodology provides a reliable estimate of its business risk. These specific companies were chosen as they are publicly traded exchanges or financial market infrastructure companies in India and therefore share similar operational, regulatory, and economic risks with the target company.</t>
  </si>
  <si>
    <t>The analysis was based on the levered betas of the comparable companies, with the Debt-to-Equity (D/E) ratio used to remove financial risk. It was noted that all three companies are all-equity financed, with a D/E ratio of zero, meaning their unlevered beta is equal to their levered beta. A consistent corporate tax rate of 25% was used in the unlevering formula, aligning with income statement projections. The average unlevered beta of 0.23 reflects a conservative and defensible measure of the target company's underlying business risk.</t>
  </si>
  <si>
    <t>The Beta of 0.23 was derived from a comparable company analysis of BSE, MCX, and CDSL. As the target company is privately held, this methodology provides a reliable estimate of its business risk. These companies were selected because they are publicly traded exchanges or financial market infrastructure companies in India and therefore share similar operational, regulatory, and economic risks with the target company. The analysis was based on the levered betas of the comparable companies, with the Debt-to-Equity (D/E) ratio used to remove financial risk. It was noted that all three companies are all-equity financed, with a D/E ratio of zero, meaning their unlevered beta is equal to their levered beta. A consistent corporate tax rate of 25% was used in the unlevering formula, aligning with income statement projections. The average unlevered beta of 0.23 reflects a conservative and defensible measure of the target company's underlying business risk.</t>
  </si>
  <si>
    <t>WACC CALCULATION</t>
  </si>
  <si>
    <t>After-Tax Cost of Debt</t>
  </si>
  <si>
    <t>Total Capital (V)</t>
  </si>
  <si>
    <t>% Equity (E/V)</t>
  </si>
  <si>
    <t>% Debt (D/V)</t>
  </si>
  <si>
    <t>WACC</t>
  </si>
  <si>
    <t>The Cost of Debt was determined to be 0%. This assumption is based on the company's capital structure, as it has no outstanding interest-bearing debt. Since there are no interest expenses, the pre-tax cost of debt is 0%, and due to the tax shield, the after-tax cost is also 0%. This is a defensible assumption, consistent with the company's historical and projected all-equity financing.</t>
  </si>
  <si>
    <t>The 25% corporate tax rate is consistent with the rate used in the income statement projections.</t>
  </si>
  <si>
    <t>The Cost of Debt was determined to be 0%. This assumption is based on the company's capital structure, as it has no outstanding interest-bearing debt. Since there are no interest expenses, the pre-tax cost of debt is 0%. The after-tax cost of debt, calculated as Pre-Tax Cost of Debt×(1−Corporate Tax Rate), is also 0%. This is a defensible assumption, consistent with the company's historical and projected all-equity financing.</t>
  </si>
  <si>
    <t>The Market Value of Equity was determined to be Rs 30,353.33 crore. Since the company is privately held, its market value is not publicly available. Therefore, the Total Equity from the company's most recent fiscal year-end balance sheet was used as a defensible proxy for its market value.</t>
  </si>
  <si>
    <t>The Market Value of Debt was determined to be Rs 0. This is a key assumption based on the company's all-equity financing structure. Since the company has no outstanding interest-bearing debt, its total debt value is zero.</t>
  </si>
  <si>
    <t>The Total Capital of the firm was determined to be Rs 30,353.33 crore. This value is the sum of the company's Market Value of Equity (Rs 30,353.33 crore) and its Market Value of Debt (Rs 0). This figure represents the total value of the company's capital structure and is the denominator for the weighting in the final WACC calculation.</t>
  </si>
  <si>
    <r>
      <t xml:space="preserve">The company's capital structure weights are </t>
    </r>
    <r>
      <rPr>
        <b/>
        <sz val="11"/>
        <color theme="1"/>
        <rFont val="Aptos Narrow"/>
        <family val="2"/>
        <scheme val="minor"/>
      </rPr>
      <t>100% Equity</t>
    </r>
    <r>
      <rPr>
        <sz val="11"/>
        <color theme="1"/>
        <rFont val="Aptos Narrow"/>
        <family val="2"/>
        <scheme val="minor"/>
      </rPr>
      <t xml:space="preserve"> and </t>
    </r>
    <r>
      <rPr>
        <b/>
        <sz val="11"/>
        <color theme="1"/>
        <rFont val="Aptos Narrow"/>
        <family val="2"/>
        <scheme val="minor"/>
      </rPr>
      <t>0% Debt</t>
    </r>
    <r>
      <rPr>
        <sz val="11"/>
        <color theme="1"/>
        <rFont val="Aptos Narrow"/>
        <family val="2"/>
        <scheme val="minor"/>
      </rPr>
      <t>. This is a direct result of the company's all-equity financing, where the Market Value of Debt is zero. This assumption is consistent with the company's historical financing strategy and the inputs used in this valuation.</t>
    </r>
  </si>
  <si>
    <t>Cost of Equity (Re)</t>
  </si>
  <si>
    <t>The Cost of Equity was determined to be 7.67%. This was calculated using the Capital Asset Pricing Model (CAPM), where Re​=Rf​+β×(Rm​−Rf​). The calculation factors in a Risk-Free Rate of 6.49%, a Market Risk Premium of 5.15%, and a Beta of 0.23. This figure represents the return required by the company's equity investors and will be used in the final WACC calculation.</t>
  </si>
  <si>
    <t>Pre-Tax Cost of Debt (Rd​)</t>
  </si>
  <si>
    <t>The Weighted Average Cost of Capital (WACC) was determined to be 7.67%. This figure represents the blended cost of both equity and debt capital, weighted by the company's long-term capital structure. The WACC was calculated using the formula WACC=(VE​×Re​)+(VD​×Rd​×(1−T)). The Cost of Equity was derived from a Beta of 0.23, which was based on a comparable company analysis, while the Cost of Debt was determined to be 0% due to the company's all-equity capital structure. The WACC of 7.67% is a defensible discount rate to be used in a Discounted Cash Flow (DCF) model, as it accurately reflects the company's specific business risk and capital structure</t>
  </si>
  <si>
    <t>Unlevered Free Cash Flow (UFCF)</t>
  </si>
  <si>
    <t>EBIT</t>
  </si>
  <si>
    <t>Tax Rate</t>
  </si>
  <si>
    <t>Taxes</t>
  </si>
  <si>
    <t>NOPAT</t>
  </si>
  <si>
    <t>CapEx</t>
  </si>
  <si>
    <t>Change in NWC</t>
  </si>
  <si>
    <t>Reasoning: The EBIT and Tax Rate are taken directly from your forecasted income statement. EBIT is the ideal starting point because it isolates the company's operating performance, removing the effects of financing (interest) and taxes. The tax rate is applied to this figure to arrive at the hypothetical operating profit after taxes.</t>
  </si>
  <si>
    <r>
      <t xml:space="preserve">NOPAT is the final figure for a company's operational profitability after taxes. It is a critical line item because it represents the earnings generated from the core business, on a post-tax basis, without the influence of the company's debt or financing decisions. The formula for this is: </t>
    </r>
    <r>
      <rPr>
        <b/>
        <sz val="11"/>
        <color theme="1"/>
        <rFont val="Aptos Narrow"/>
        <family val="2"/>
        <scheme val="minor"/>
      </rPr>
      <t>NOPAT = EBIT × (1 - Tax Rate)</t>
    </r>
  </si>
  <si>
    <t>EBIT*TAX RATE</t>
  </si>
  <si>
    <t>D&amp;A are non-cash expenses. They are subtracted from a company's revenue to calculate net income for accounting purposes, but they do not represent an actual outflow of cash in the current period. Therefore, we add them back to NOPAT to reflect the true cash available to the business.</t>
  </si>
  <si>
    <t>CapEx is a real cash outflow. It is the money a company must spend on long-term assets, like property, plant, and equipment, to maintain and grow its operations. Since it is a necessary investment for the business to continue generating future cash flows, we subtract it from the calculation.</t>
  </si>
  <si>
    <t>This line item adjusts for the cash that is either tied up or freed from a company's short-term operations. A positive change in NWC (e.g., an increase in inventory) is a cash outflow and is subtracted, whereas a negative change (e.g., collecting cash from customers faster) is a cash inflow and is effectively added back to cash flow.</t>
  </si>
  <si>
    <t>UFCF = NOPAT + D&amp;A - CapEx - Change in NWC</t>
  </si>
  <si>
    <t>Perpetuity Growth Terminal Value Calculation</t>
  </si>
  <si>
    <t>Term</t>
  </si>
  <si>
    <t>Input</t>
  </si>
  <si>
    <t>UFCF (2030)</t>
  </si>
  <si>
    <t>Perpentual Growth Rate(g)</t>
  </si>
  <si>
    <t>Terminal Value</t>
  </si>
  <si>
    <t>Formula</t>
  </si>
  <si>
    <t>The 6% perpetuity growth rate (g) is a realistic and defensible assumption. This rate aligns with the estimated long-term nominal GDP growth rate of the Indian economy, reflecting the country's status as a fast-growing, developing market. The assumption is also mathematically sound, as the 6% growth rate is less than the company's WACC of 7.66%, ensuring a finite and meaningful Terminal Value.</t>
  </si>
  <si>
    <t>Terminal Value = [UFCF_last_year * (1 + g)] / (WACC - g)</t>
  </si>
  <si>
    <t>The Terminal Value represents the cash flows beyond our explicit forecast period. It is a single value that captures the long-term, sustainable growth of the business into perpetuity. The value is highly sensitive to the perpetuity growth rate (g) and the WACC, and it often accounts for a significant portion of the total valuation.</t>
  </si>
  <si>
    <t>Exit Multiple Terminal Value Calculation</t>
  </si>
  <si>
    <t>EBITDA (2030)</t>
  </si>
  <si>
    <t xml:space="preserve">Exit Multiple </t>
  </si>
  <si>
    <t>BETA CALCULATION</t>
  </si>
  <si>
    <t>Enterprise Value</t>
  </si>
  <si>
    <t>EBITDA</t>
  </si>
  <si>
    <t>EV/EBITDA Multiple</t>
  </si>
  <si>
    <t>Median Multiple</t>
  </si>
  <si>
    <r>
      <t xml:space="preserve">The Enterprise Value (EV) and LTM EBITDA values for the three comparable companies were sourced from public financial data to conduct a </t>
    </r>
    <r>
      <rPr>
        <b/>
        <sz val="11"/>
        <color theme="1"/>
        <rFont val="Aptos Narrow"/>
        <family val="2"/>
        <scheme val="minor"/>
      </rPr>
      <t>Comparable Company Analysis (CCA)</t>
    </r>
    <r>
      <rPr>
        <sz val="11"/>
        <color theme="1"/>
        <rFont val="Aptos Narrow"/>
        <family val="2"/>
        <scheme val="minor"/>
      </rPr>
      <t xml:space="preserve">. This analysis provides a </t>
    </r>
    <r>
      <rPr>
        <b/>
        <sz val="11"/>
        <color theme="1"/>
        <rFont val="Aptos Narrow"/>
        <family val="2"/>
        <scheme val="minor"/>
      </rPr>
      <t>market-based valuation</t>
    </r>
    <r>
      <rPr>
        <sz val="11"/>
        <color theme="1"/>
        <rFont val="Aptos Narrow"/>
        <family val="2"/>
        <scheme val="minor"/>
      </rPr>
      <t xml:space="preserve"> that serves as a sanity check for the DCF model. For each comparable company, the </t>
    </r>
    <r>
      <rPr>
        <b/>
        <sz val="11"/>
        <color theme="1"/>
        <rFont val="Aptos Narrow"/>
        <family val="2"/>
        <scheme val="minor"/>
      </rPr>
      <t>EV/EBITDA multiple</t>
    </r>
    <r>
      <rPr>
        <sz val="11"/>
        <color theme="1"/>
        <rFont val="Aptos Narrow"/>
        <family val="2"/>
        <scheme val="minor"/>
      </rPr>
      <t xml:space="preserve"> was calculated by dividing its Enterprise Value by its LTM EBITDA. This multiple is a standard valuation metric because both EV and EBITDA are capital structure-neutral. The median of these multiples was then selected as the most representative and defensible </t>
    </r>
    <r>
      <rPr>
        <b/>
        <sz val="11"/>
        <color theme="1"/>
        <rFont val="Aptos Narrow"/>
        <family val="2"/>
        <scheme val="minor"/>
      </rPr>
      <t>Exit Multiple</t>
    </r>
    <r>
      <rPr>
        <sz val="11"/>
        <color theme="1"/>
        <rFont val="Aptos Narrow"/>
        <family val="2"/>
        <scheme val="minor"/>
      </rPr>
      <t xml:space="preserve"> for the valuation.</t>
    </r>
  </si>
  <si>
    <r>
      <t xml:space="preserve">The median multiple is used because it provides a </t>
    </r>
    <r>
      <rPr>
        <b/>
        <sz val="11"/>
        <color theme="1"/>
        <rFont val="Aptos Narrow"/>
        <family val="2"/>
        <scheme val="minor"/>
      </rPr>
      <t>more reliable and representative estimate</t>
    </r>
    <r>
      <rPr>
        <sz val="11"/>
        <color theme="1"/>
        <rFont val="Aptos Narrow"/>
        <family val="2"/>
        <scheme val="minor"/>
      </rPr>
      <t xml:space="preserve"> than the average. It is a professional best practice to use the median as it filters out the impact of any outliers in the data, which could otherwise skew the result and lead to a less defensible valuation. This ensures that the Exit Multiple is a conservative and realistic reflection of the peer group's typical valuation. We will use this median to finalize the Exit Multiple Terminal Value.</t>
    </r>
  </si>
  <si>
    <t>Terminal Value = EBITDA (Final Year) x Exit Multiple</t>
  </si>
  <si>
    <t>FROM COMPARABLE COMPANY ANALYSIS</t>
  </si>
  <si>
    <t>Present Value of Cash Flows</t>
  </si>
  <si>
    <t>UFCF</t>
  </si>
  <si>
    <t>Discount Factor</t>
  </si>
  <si>
    <t xml:space="preserve">Present Value   </t>
  </si>
  <si>
    <t>Discount Factor = 1 / (1 + WACC)^n</t>
  </si>
  <si>
    <t>Present Value = UFCF / (1 + wacc)^n</t>
  </si>
  <si>
    <t>Total</t>
  </si>
  <si>
    <t>PV of TV (Perpetuity)</t>
  </si>
  <si>
    <t>PV of TV (Exit Multiple)</t>
  </si>
  <si>
    <t>Total Enterprise Value</t>
  </si>
  <si>
    <t>(Perpetuity Growth)</t>
  </si>
  <si>
    <t>PV of TV = Terminal Value / (1 + WACC)^n</t>
  </si>
  <si>
    <r>
      <t xml:space="preserve">The </t>
    </r>
    <r>
      <rPr>
        <b/>
        <sz val="11"/>
        <color theme="1"/>
        <rFont val="Aptos Narrow"/>
        <family val="2"/>
        <scheme val="minor"/>
      </rPr>
      <t>Terminal Value</t>
    </r>
    <r>
      <rPr>
        <sz val="11"/>
        <color theme="1"/>
        <rFont val="Aptos Narrow"/>
        <family val="2"/>
        <scheme val="minor"/>
      </rPr>
      <t xml:space="preserve">, which accounts for the majority of the total Enterprise Value, is based on two defensible methods. The </t>
    </r>
    <r>
      <rPr>
        <b/>
        <sz val="11"/>
        <color theme="1"/>
        <rFont val="Aptos Narrow"/>
        <family val="2"/>
        <scheme val="minor"/>
      </rPr>
      <t>Perpetuity Growth Method</t>
    </r>
    <r>
      <rPr>
        <sz val="11"/>
        <color theme="1"/>
        <rFont val="Aptos Narrow"/>
        <family val="2"/>
        <scheme val="minor"/>
      </rPr>
      <t xml:space="preserve"> uses a realistic long-term growth rate (g) assumption, while the </t>
    </r>
    <r>
      <rPr>
        <b/>
        <sz val="11"/>
        <color theme="1"/>
        <rFont val="Aptos Narrow"/>
        <family val="2"/>
        <scheme val="minor"/>
      </rPr>
      <t>Exit Multiple Method</t>
    </r>
    <r>
      <rPr>
        <sz val="11"/>
        <color theme="1"/>
        <rFont val="Aptos Narrow"/>
        <family val="2"/>
        <scheme val="minor"/>
      </rPr>
      <t xml:space="preserve"> is based on the </t>
    </r>
    <r>
      <rPr>
        <b/>
        <sz val="11"/>
        <color theme="1"/>
        <rFont val="Aptos Narrow"/>
        <family val="2"/>
        <scheme val="minor"/>
      </rPr>
      <t>median</t>
    </r>
    <r>
      <rPr>
        <sz val="11"/>
        <color theme="1"/>
        <rFont val="Aptos Narrow"/>
        <family val="2"/>
        <scheme val="minor"/>
      </rPr>
      <t xml:space="preserve"> EV/EBITDA multiple of a comparable peer group. Using the median is a professional standard that minimizes the impact of outliers and provides a market-based validation of the intrinsic valuation.</t>
    </r>
  </si>
  <si>
    <r>
      <t xml:space="preserve">The final </t>
    </r>
    <r>
      <rPr>
        <b/>
        <sz val="11"/>
        <color theme="1"/>
        <rFont val="Aptos Narrow"/>
        <family val="2"/>
        <scheme val="minor"/>
      </rPr>
      <t>Enterprise Value</t>
    </r>
    <r>
      <rPr>
        <sz val="11"/>
        <color theme="1"/>
        <rFont val="Aptos Narrow"/>
        <family val="2"/>
        <scheme val="minor"/>
      </rPr>
      <t xml:space="preserve"> is presented as a range based on these two methods. This approach provides a more robust and defensible valuation than relying on a single number, reflecting a comprehensive analysis of both the company's intrinsic value and its relative market position.</t>
    </r>
  </si>
  <si>
    <t>Perpetuity Growth Case</t>
  </si>
  <si>
    <t>Enterprise Value:</t>
  </si>
  <si>
    <t>Less: Net Debt:</t>
  </si>
  <si>
    <t>Plus: Minority Interest:</t>
  </si>
  <si>
    <t>Equals: Equity Value:</t>
  </si>
  <si>
    <t>Exit Multiple Case:</t>
  </si>
  <si>
    <t>Equity Value</t>
  </si>
  <si>
    <t>Diluted Shares Outstanding</t>
  </si>
  <si>
    <t>Equity Value for Perpetuity Growth Case</t>
  </si>
  <si>
    <t>Equity Value for Exit Multiple Case:</t>
  </si>
  <si>
    <t>Efficiency Ratios</t>
  </si>
  <si>
    <t>Days Sales Outstanding (DSO):</t>
  </si>
  <si>
    <t>Per share data</t>
  </si>
  <si>
    <t>Eps</t>
  </si>
  <si>
    <t>Bvps</t>
  </si>
  <si>
    <t>Liquidity ratios</t>
  </si>
  <si>
    <t>Current ratio</t>
  </si>
  <si>
    <t>Quick ratio</t>
  </si>
  <si>
    <t>Profitability ratio</t>
  </si>
  <si>
    <t>Gross profit margin</t>
  </si>
  <si>
    <t>Operating profit margin  or ebitda margin</t>
  </si>
  <si>
    <t>Ebit margin</t>
  </si>
  <si>
    <t>Net profit margin</t>
  </si>
  <si>
    <t>Roe</t>
  </si>
  <si>
    <t>Roa</t>
  </si>
  <si>
    <t>Formulas</t>
  </si>
  <si>
    <t>Net Income / Total Shares Outstanding</t>
  </si>
  <si>
    <t>Shareholder's Equity / Total Shares Outstanding</t>
  </si>
  <si>
    <t>Current Assets / Current Liabilities</t>
  </si>
  <si>
    <t>(Current Assets - Inventory) / Current Liabilities</t>
  </si>
  <si>
    <t>Gross Profit / Revenue</t>
  </si>
  <si>
    <t>Operating Income / Revenue</t>
  </si>
  <si>
    <t>EBIT / Revenue</t>
  </si>
  <si>
    <t>Net Income / Revenue</t>
  </si>
  <si>
    <t>Net Income / Shareholder's Equity</t>
  </si>
  <si>
    <t>Net Income / Total Assets</t>
  </si>
  <si>
    <t>(Accounts Receivable / Revenue) * 365</t>
  </si>
  <si>
    <t>Metric</t>
  </si>
  <si>
    <t>Median</t>
  </si>
  <si>
    <t>P/E Ratio (TTM)</t>
  </si>
  <si>
    <t>P/B Ratio</t>
  </si>
  <si>
    <t>EV/Sales</t>
  </si>
  <si>
    <t>EV/EBITDA</t>
  </si>
  <si>
    <t>Net Profit Margin</t>
  </si>
  <si>
    <t>All market data as of the close of business on September 20, 2025</t>
  </si>
  <si>
    <t>Source: Yahoo Finance, as of September 20, 2025</t>
  </si>
  <si>
    <t>Totall Assets</t>
  </si>
  <si>
    <t>NSE (2026  -  Projected)</t>
  </si>
  <si>
    <t>Valuation Method</t>
  </si>
  <si>
    <t>Valuation Type</t>
  </si>
  <si>
    <t>Enterprise Value (EV)  of NSE [CCA]</t>
  </si>
  <si>
    <t>Equity Value (P/E) Calculation of NSE [CCA]</t>
  </si>
  <si>
    <t>Median EV/EBITDA (from your table) x NSE's Projected EBITDA</t>
  </si>
  <si>
    <t>Median P/E×Projected Net Income</t>
  </si>
  <si>
    <t>Final Valuation Summary</t>
  </si>
  <si>
    <t>NSE Value (in ₹ crores)</t>
  </si>
  <si>
    <t>Discounted Cash Flow (DCF)</t>
  </si>
  <si>
    <t>Comparable Company Analysis (CCA)</t>
  </si>
  <si>
    <t>Final DCF Value = (Perpetuity Growth Case EV + Exit Multiple Case EV) / 2</t>
  </si>
  <si>
    <t>Implied Share</t>
  </si>
  <si>
    <t>Equity Value / Shares Outstanding</t>
  </si>
  <si>
    <t>Final Conclusion</t>
  </si>
  <si>
    <t>Value</t>
  </si>
  <si>
    <t>DCF Valuation</t>
  </si>
  <si>
    <t>CCA Valuation</t>
  </si>
  <si>
    <t>Final Target Price (Simple Average)</t>
  </si>
  <si>
    <t xml:space="preserve">wacc  </t>
  </si>
  <si>
    <t>SENSITIVITY ANALYSIS</t>
  </si>
  <si>
    <r>
      <t xml:space="preserve">The ranges used in your sensitivity analysis are based on financial modeling best practices, not arbitrary choices. They are designed to test the two most critical assumptions in a DCF model. For the </t>
    </r>
    <r>
      <rPr>
        <b/>
        <sz val="11"/>
        <color theme="1"/>
        <rFont val="Aptos Narrow"/>
        <family val="2"/>
        <scheme val="minor"/>
      </rPr>
      <t>WACC</t>
    </r>
    <r>
      <rPr>
        <sz val="11"/>
        <color theme="1"/>
        <rFont val="Aptos Narrow"/>
        <family val="2"/>
        <scheme val="minor"/>
      </rPr>
      <t xml:space="preserve">, your range of 6.66% to 8.66% tests the company's valuation under different risk scenarios, with a lower WACC assuming less risk and a higher WACC assuming more. It is a standard practice to test a range around your calculated base case. For the </t>
    </r>
    <r>
      <rPr>
        <b/>
        <sz val="11"/>
        <color theme="1"/>
        <rFont val="Aptos Narrow"/>
        <family val="2"/>
        <scheme val="minor"/>
      </rPr>
      <t>perpetual growth rate</t>
    </r>
    <r>
      <rPr>
        <sz val="11"/>
        <color theme="1"/>
        <rFont val="Aptos Narrow"/>
        <family val="2"/>
        <scheme val="minor"/>
      </rPr>
      <t>, your range of 4% to 8% tests the company's valuation against different long-term growth scenarios. A company's long-term growth rate cannot exceed the growth of its underlying economy forever, so your base case of 6% is quite optimistic. The lower bound of your range (4%) is a more conservative, realistic assumption for long-term growth. By showing how your valuation changes across all these scenarios, you are demonstrating the sensitivity of your model and the inherent risk in your assumptions. This provides a professional and credible view of the company's true value, proving that it is not a single number but a range of possible outcomes.</t>
    </r>
  </si>
  <si>
    <t>Perpetual  Growth Rate(g)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</si>
</sst>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 #,##0;[Red]&quot;₹&quot;\ \-#,##0"/>
    <numFmt numFmtId="8" formatCode="&quot;₹&quot;\ #,##0.00;[Red]&quot;₹&quot;\ \-#,##0.00"/>
    <numFmt numFmtId="44" formatCode="_ &quot;₹&quot;\ * #,##0.00_ ;_ &quot;₹&quot;\ * \-#,##0.00_ ;_ &quot;₹&quot;\ * &quot;-&quot;??_ ;_ @_ "/>
    <numFmt numFmtId="164" formatCode="&quot;₹&quot;\ #,##0.00"/>
    <numFmt numFmtId="165" formatCode="_ [$₹-4009]\ * #,##0.00_ ;_ [$₹-4009]\ * \-#,##0.00_ ;_ [$₹-4009]\ * &quot;-&quot;??_ ;_ @_ "/>
    <numFmt numFmtId="166" formatCode="[$₹-4009]\ #,##0.00;[Red][$₹-4009]\ \-#,##0.00"/>
    <numFmt numFmtId="167" formatCode="0.000"/>
  </numFmts>
  <fonts count="17">
    <font>
      <sz val="11"/>
      <color theme="1"/>
      <name val="Aptos Narrow"/>
      <family val="2"/>
      <scheme val="minor"/>
    </font>
    <font>
      <sz val="11"/>
      <color theme="1"/>
      <name val="Aptos Narrow"/>
      <family val="2"/>
      <scheme val="minor"/>
    </font>
    <font>
      <i/>
      <sz val="9"/>
      <color theme="1"/>
      <name val="Aptos Narrow"/>
      <family val="2"/>
      <scheme val="minor"/>
    </font>
    <font>
      <i/>
      <sz val="11"/>
      <color theme="1"/>
      <name val="Aptos Narrow"/>
      <family val="2"/>
      <scheme val="minor"/>
    </font>
    <font>
      <sz val="11"/>
      <color rgb="FF006100"/>
      <name val="Aptos Narrow"/>
      <family val="2"/>
      <scheme val="minor"/>
    </font>
    <font>
      <sz val="11"/>
      <color rgb="FF9C5700"/>
      <name val="Aptos Narrow"/>
      <family val="2"/>
      <scheme val="minor"/>
    </font>
    <font>
      <i/>
      <sz val="11"/>
      <color rgb="FF006100"/>
      <name val="Aptos Narrow"/>
      <family val="2"/>
      <scheme val="minor"/>
    </font>
    <font>
      <i/>
      <sz val="11"/>
      <color rgb="FF9C5700"/>
      <name val="Aptos Narrow"/>
      <family val="2"/>
      <scheme val="minor"/>
    </font>
    <font>
      <sz val="11"/>
      <color rgb="FF9C0006"/>
      <name val="Aptos Narrow"/>
      <family val="2"/>
      <scheme val="minor"/>
    </font>
    <font>
      <i/>
      <sz val="11"/>
      <color rgb="FF9C0006"/>
      <name val="Aptos Narrow"/>
      <family val="2"/>
      <scheme val="minor"/>
    </font>
    <font>
      <u/>
      <sz val="11"/>
      <color theme="10"/>
      <name val="Aptos Narrow"/>
      <family val="2"/>
      <scheme val="minor"/>
    </font>
    <font>
      <i/>
      <u/>
      <sz val="11"/>
      <color theme="10"/>
      <name val="Aptos Narrow"/>
      <family val="2"/>
      <scheme val="minor"/>
    </font>
    <font>
      <b/>
      <sz val="11"/>
      <color theme="1"/>
      <name val="Aptos Narrow"/>
      <family val="2"/>
      <scheme val="minor"/>
    </font>
    <font>
      <sz val="10"/>
      <color theme="1"/>
      <name val="Arial Unicode MS"/>
    </font>
    <font>
      <sz val="12"/>
      <color theme="1"/>
      <name val="Aptos"/>
      <family val="2"/>
    </font>
    <font>
      <sz val="11"/>
      <name val="Aptos Narrow"/>
      <family val="2"/>
      <scheme val="minor"/>
    </font>
    <font>
      <sz val="13.5"/>
      <color theme="1"/>
      <name val="Aptos Narrow"/>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000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4" fillId="3" borderId="0" applyNumberFormat="0" applyBorder="0" applyAlignment="0" applyProtection="0"/>
    <xf numFmtId="0" fontId="5" fillId="4" borderId="0" applyNumberFormat="0" applyBorder="0" applyAlignment="0" applyProtection="0"/>
    <xf numFmtId="0" fontId="8" fillId="5" borderId="0" applyNumberFormat="0" applyBorder="0" applyAlignment="0" applyProtection="0"/>
    <xf numFmtId="0" fontId="10" fillId="0" borderId="0" applyNumberFormat="0" applyFill="0" applyBorder="0" applyAlignment="0" applyProtection="0"/>
    <xf numFmtId="44" fontId="1" fillId="0" borderId="0" applyFont="0" applyFill="0" applyBorder="0" applyAlignment="0" applyProtection="0"/>
  </cellStyleXfs>
  <cellXfs count="308">
    <xf numFmtId="0" fontId="0" fillId="0" borderId="0" xfId="0"/>
    <xf numFmtId="0" fontId="0" fillId="0" borderId="6" xfId="0" applyBorder="1"/>
    <xf numFmtId="164" fontId="0" fillId="0" borderId="0" xfId="0" applyNumberFormat="1"/>
    <xf numFmtId="10" fontId="0" fillId="0" borderId="0" xfId="1" applyNumberFormat="1" applyFont="1" applyFill="1"/>
    <xf numFmtId="10" fontId="0" fillId="0" borderId="0" xfId="1" applyNumberFormat="1" applyFont="1" applyFill="1" applyBorder="1"/>
    <xf numFmtId="164" fontId="0" fillId="0" borderId="0" xfId="1" applyNumberFormat="1" applyFont="1" applyFill="1" applyBorder="1"/>
    <xf numFmtId="164" fontId="0" fillId="0" borderId="6" xfId="0" applyNumberFormat="1" applyBorder="1"/>
    <xf numFmtId="164" fontId="0" fillId="0" borderId="7" xfId="0" applyNumberFormat="1" applyBorder="1"/>
    <xf numFmtId="10" fontId="0" fillId="0" borderId="9" xfId="1" applyNumberFormat="1" applyFont="1" applyFill="1" applyBorder="1"/>
    <xf numFmtId="164" fontId="0" fillId="0" borderId="9" xfId="0" applyNumberFormat="1" applyBorder="1"/>
    <xf numFmtId="164" fontId="0" fillId="0" borderId="9" xfId="1" applyNumberFormat="1" applyFont="1" applyFill="1" applyBorder="1"/>
    <xf numFmtId="164" fontId="0" fillId="0" borderId="1" xfId="0" applyNumberFormat="1" applyBorder="1"/>
    <xf numFmtId="164" fontId="0" fillId="0" borderId="2" xfId="0" applyNumberFormat="1" applyBorder="1" applyAlignment="1">
      <alignment horizontal="left" indent="1"/>
    </xf>
    <xf numFmtId="10" fontId="0" fillId="0" borderId="3" xfId="1" applyNumberFormat="1" applyFont="1" applyFill="1" applyBorder="1" applyAlignment="1">
      <alignment horizontal="left" indent="1"/>
    </xf>
    <xf numFmtId="164" fontId="0" fillId="0" borderId="3" xfId="0" applyNumberFormat="1" applyBorder="1" applyAlignment="1">
      <alignment horizontal="left" indent="1"/>
    </xf>
    <xf numFmtId="164" fontId="0" fillId="0" borderId="3" xfId="0" applyNumberFormat="1" applyBorder="1" applyAlignment="1">
      <alignment horizontal="left" indent="3"/>
    </xf>
    <xf numFmtId="164" fontId="0" fillId="0" borderId="4" xfId="0" applyNumberFormat="1" applyBorder="1" applyAlignment="1">
      <alignment horizontal="left" indent="1"/>
    </xf>
    <xf numFmtId="164" fontId="0" fillId="0" borderId="5" xfId="0" applyNumberFormat="1" applyBorder="1"/>
    <xf numFmtId="10" fontId="0" fillId="0" borderId="8" xfId="1" applyNumberFormat="1" applyFont="1" applyFill="1" applyBorder="1"/>
    <xf numFmtId="164" fontId="0" fillId="0" borderId="8" xfId="0" applyNumberFormat="1" applyBorder="1"/>
    <xf numFmtId="164" fontId="0" fillId="0" borderId="8" xfId="1" applyNumberFormat="1" applyFont="1" applyFill="1" applyBorder="1"/>
    <xf numFmtId="164" fontId="0" fillId="0" borderId="10" xfId="0" applyNumberFormat="1" applyBorder="1"/>
    <xf numFmtId="164" fontId="2" fillId="2" borderId="3" xfId="0" applyNumberFormat="1" applyFont="1" applyFill="1" applyBorder="1" applyAlignment="1">
      <alignment horizontal="left" indent="1"/>
    </xf>
    <xf numFmtId="6" fontId="2" fillId="2" borderId="8" xfId="0" applyNumberFormat="1" applyFont="1" applyFill="1" applyBorder="1"/>
    <xf numFmtId="6" fontId="2" fillId="2" borderId="9" xfId="0" applyNumberFormat="1" applyFont="1" applyFill="1" applyBorder="1"/>
    <xf numFmtId="0" fontId="0" fillId="0" borderId="9" xfId="0" applyBorder="1"/>
    <xf numFmtId="0" fontId="0" fillId="0" borderId="7" xfId="0" applyBorder="1"/>
    <xf numFmtId="164" fontId="2" fillId="0" borderId="3" xfId="0" applyNumberFormat="1" applyFont="1" applyBorder="1" applyAlignment="1">
      <alignment horizontal="left" indent="1"/>
    </xf>
    <xf numFmtId="6" fontId="2" fillId="0" borderId="8" xfId="0" applyNumberFormat="1" applyFont="1" applyBorder="1"/>
    <xf numFmtId="6" fontId="2" fillId="0" borderId="9" xfId="0" applyNumberFormat="1" applyFont="1" applyBorder="1"/>
    <xf numFmtId="164" fontId="2" fillId="2" borderId="8" xfId="0" applyNumberFormat="1" applyFont="1" applyFill="1" applyBorder="1"/>
    <xf numFmtId="164" fontId="2" fillId="2" borderId="0" xfId="0" applyNumberFormat="1" applyFont="1" applyFill="1"/>
    <xf numFmtId="0" fontId="0" fillId="0" borderId="3" xfId="0" applyBorder="1"/>
    <xf numFmtId="0" fontId="0" fillId="0" borderId="5" xfId="0" applyBorder="1"/>
    <xf numFmtId="0" fontId="0" fillId="0" borderId="8" xfId="0" applyBorder="1"/>
    <xf numFmtId="0" fontId="0" fillId="0" borderId="10" xfId="0" applyBorder="1"/>
    <xf numFmtId="0" fontId="0" fillId="0" borderId="1" xfId="0" applyBorder="1"/>
    <xf numFmtId="0" fontId="0" fillId="0" borderId="11" xfId="0" applyBorder="1"/>
    <xf numFmtId="2" fontId="0" fillId="0" borderId="8" xfId="1" applyNumberFormat="1" applyFont="1" applyFill="1" applyBorder="1"/>
    <xf numFmtId="2" fontId="0" fillId="0" borderId="0" xfId="1" applyNumberFormat="1" applyFont="1" applyFill="1" applyBorder="1"/>
    <xf numFmtId="2" fontId="0" fillId="0" borderId="9" xfId="1" applyNumberFormat="1" applyFont="1" applyFill="1" applyBorder="1"/>
    <xf numFmtId="6" fontId="2" fillId="2" borderId="0" xfId="0" applyNumberFormat="1" applyFont="1" applyFill="1"/>
    <xf numFmtId="164" fontId="2" fillId="2" borderId="9" xfId="0" applyNumberFormat="1" applyFont="1" applyFill="1" applyBorder="1"/>
    <xf numFmtId="6" fontId="2" fillId="0" borderId="0" xfId="0" applyNumberFormat="1" applyFont="1"/>
    <xf numFmtId="10" fontId="0" fillId="0" borderId="0" xfId="1" applyNumberFormat="1" applyFont="1" applyFill="1" applyBorder="1" applyAlignment="1">
      <alignment horizontal="left" indent="1"/>
    </xf>
    <xf numFmtId="164" fontId="2" fillId="2" borderId="4" xfId="0" applyNumberFormat="1" applyFont="1" applyFill="1" applyBorder="1" applyAlignment="1">
      <alignment horizontal="left" indent="1"/>
    </xf>
    <xf numFmtId="164" fontId="2" fillId="2" borderId="10" xfId="0" applyNumberFormat="1" applyFont="1" applyFill="1" applyBorder="1"/>
    <xf numFmtId="164" fontId="2" fillId="2" borderId="1" xfId="0" applyNumberFormat="1" applyFont="1" applyFill="1" applyBorder="1"/>
    <xf numFmtId="10" fontId="0" fillId="0" borderId="5" xfId="1" applyNumberFormat="1" applyFont="1" applyFill="1" applyBorder="1" applyAlignment="1">
      <alignment horizontal="left" indent="3"/>
    </xf>
    <xf numFmtId="164" fontId="0" fillId="0" borderId="8" xfId="0" applyNumberFormat="1" applyBorder="1" applyAlignment="1">
      <alignment horizontal="left" indent="3"/>
    </xf>
    <xf numFmtId="10" fontId="0" fillId="0" borderId="8" xfId="1" applyNumberFormat="1" applyFont="1" applyFill="1" applyBorder="1" applyAlignment="1">
      <alignment horizontal="left" indent="1"/>
    </xf>
    <xf numFmtId="164" fontId="0" fillId="0" borderId="8" xfId="0" applyNumberFormat="1" applyBorder="1" applyAlignment="1">
      <alignment horizontal="left" indent="1"/>
    </xf>
    <xf numFmtId="164" fontId="2" fillId="0" borderId="8" xfId="0" applyNumberFormat="1" applyFont="1" applyBorder="1" applyAlignment="1">
      <alignment horizontal="left" indent="1"/>
    </xf>
    <xf numFmtId="10" fontId="0" fillId="0" borderId="8" xfId="1" applyNumberFormat="1" applyFont="1" applyBorder="1" applyAlignment="1">
      <alignment horizontal="left" indent="2"/>
    </xf>
    <xf numFmtId="164" fontId="2" fillId="0" borderId="0" xfId="0" applyNumberFormat="1" applyFont="1" applyAlignment="1">
      <alignment horizontal="left" indent="1"/>
    </xf>
    <xf numFmtId="164" fontId="0" fillId="0" borderId="0" xfId="0" applyNumberFormat="1" applyAlignment="1">
      <alignment horizontal="left" indent="1"/>
    </xf>
    <xf numFmtId="164" fontId="0" fillId="0" borderId="3" xfId="0" applyNumberFormat="1" applyBorder="1" applyAlignment="1">
      <alignment horizontal="left" indent="2"/>
    </xf>
    <xf numFmtId="0" fontId="3" fillId="0" borderId="0" xfId="0" applyFont="1"/>
    <xf numFmtId="164" fontId="2" fillId="0" borderId="0" xfId="0" applyNumberFormat="1" applyFont="1"/>
    <xf numFmtId="9" fontId="2" fillId="0" borderId="0" xfId="1" applyFont="1" applyFill="1" applyBorder="1"/>
    <xf numFmtId="0" fontId="0" fillId="0" borderId="2" xfId="0" applyBorder="1"/>
    <xf numFmtId="164" fontId="0" fillId="0" borderId="2" xfId="0" applyNumberFormat="1" applyBorder="1" applyAlignment="1">
      <alignment horizontal="left" indent="2"/>
    </xf>
    <xf numFmtId="10" fontId="0" fillId="0" borderId="3" xfId="1" applyNumberFormat="1" applyFont="1" applyFill="1" applyBorder="1" applyAlignment="1">
      <alignment horizontal="left" indent="4"/>
    </xf>
    <xf numFmtId="164" fontId="0" fillId="0" borderId="3" xfId="0" applyNumberFormat="1" applyBorder="1" applyAlignment="1">
      <alignment horizontal="left" indent="4"/>
    </xf>
    <xf numFmtId="10" fontId="0" fillId="0" borderId="2" xfId="1" applyNumberFormat="1" applyFont="1" applyFill="1" applyBorder="1" applyAlignment="1">
      <alignment horizontal="left" indent="2"/>
    </xf>
    <xf numFmtId="0" fontId="0" fillId="0" borderId="3" xfId="0" applyBorder="1" applyAlignment="1">
      <alignment horizontal="left" indent="1"/>
    </xf>
    <xf numFmtId="164" fontId="3" fillId="0" borderId="2" xfId="0" applyNumberFormat="1" applyFont="1" applyBorder="1" applyAlignment="1">
      <alignment horizontal="left" indent="1"/>
    </xf>
    <xf numFmtId="10" fontId="3" fillId="0" borderId="3" xfId="1" applyNumberFormat="1" applyFont="1" applyFill="1" applyBorder="1" applyAlignment="1">
      <alignment horizontal="left" indent="1"/>
    </xf>
    <xf numFmtId="10" fontId="3" fillId="0" borderId="2" xfId="1" applyNumberFormat="1" applyFont="1" applyFill="1" applyBorder="1" applyAlignment="1">
      <alignment horizontal="left" indent="1"/>
    </xf>
    <xf numFmtId="0" fontId="3" fillId="0" borderId="3" xfId="0" applyFont="1" applyBorder="1"/>
    <xf numFmtId="0" fontId="3" fillId="0" borderId="2" xfId="0" applyFont="1" applyBorder="1"/>
    <xf numFmtId="0" fontId="9" fillId="5" borderId="0" xfId="4" applyFont="1"/>
    <xf numFmtId="10" fontId="0" fillId="0" borderId="9" xfId="1" applyNumberFormat="1" applyFont="1" applyBorder="1"/>
    <xf numFmtId="0" fontId="9" fillId="5" borderId="0" xfId="4" applyFont="1" applyAlignment="1">
      <alignment horizontal="left" indent="1"/>
    </xf>
    <xf numFmtId="0" fontId="3" fillId="0" borderId="0" xfId="0" applyFont="1" applyAlignment="1">
      <alignment horizontal="left" indent="1"/>
    </xf>
    <xf numFmtId="164" fontId="11" fillId="0" borderId="0" xfId="5" applyNumberFormat="1" applyFont="1" applyAlignment="1">
      <alignment horizontal="left" indent="1"/>
    </xf>
    <xf numFmtId="10" fontId="3" fillId="0" borderId="0" xfId="1" applyNumberFormat="1" applyFont="1" applyFill="1" applyAlignment="1">
      <alignment horizontal="left" indent="1"/>
    </xf>
    <xf numFmtId="164" fontId="3" fillId="0" borderId="0" xfId="0" applyNumberFormat="1" applyFont="1" applyAlignment="1">
      <alignment horizontal="left" indent="1"/>
    </xf>
    <xf numFmtId="164" fontId="2" fillId="0" borderId="0" xfId="0" applyNumberFormat="1" applyFont="1" applyAlignment="1">
      <alignment horizontal="left" wrapText="1" indent="1"/>
    </xf>
    <xf numFmtId="0" fontId="0" fillId="0" borderId="12" xfId="0" applyBorder="1" applyAlignment="1">
      <alignment horizontal="center" vertical="center"/>
    </xf>
    <xf numFmtId="10" fontId="0" fillId="0" borderId="12" xfId="1" applyNumberFormat="1" applyFont="1" applyBorder="1" applyAlignment="1">
      <alignment horizontal="center" vertical="center"/>
    </xf>
    <xf numFmtId="0" fontId="0" fillId="0" borderId="11" xfId="0" applyBorder="1" applyAlignment="1">
      <alignment horizontal="left" indent="1"/>
    </xf>
    <xf numFmtId="0" fontId="0" fillId="0" borderId="7" xfId="0" applyBorder="1" applyAlignment="1">
      <alignment horizontal="left" wrapText="1" indent="1"/>
    </xf>
    <xf numFmtId="0" fontId="0" fillId="0" borderId="9" xfId="0" applyBorder="1" applyAlignment="1">
      <alignment horizontal="left" indent="1"/>
    </xf>
    <xf numFmtId="0" fontId="0" fillId="0" borderId="15" xfId="0" applyBorder="1" applyAlignment="1">
      <alignment horizontal="left" wrapText="1" indent="1"/>
    </xf>
    <xf numFmtId="0" fontId="0" fillId="0" borderId="0" xfId="0" applyAlignment="1">
      <alignment horizontal="left" indent="1"/>
    </xf>
    <xf numFmtId="0" fontId="0" fillId="0" borderId="13" xfId="0" applyBorder="1"/>
    <xf numFmtId="0" fontId="0" fillId="0" borderId="14" xfId="0" applyBorder="1"/>
    <xf numFmtId="0" fontId="0" fillId="0" borderId="15" xfId="0" applyBorder="1"/>
    <xf numFmtId="0" fontId="0" fillId="0" borderId="0" xfId="0" applyAlignment="1">
      <alignment vertical="center"/>
    </xf>
    <xf numFmtId="0" fontId="9" fillId="5" borderId="0" xfId="4" applyFont="1" applyAlignment="1">
      <alignment horizontal="left" indent="3"/>
    </xf>
    <xf numFmtId="0" fontId="3" fillId="0" borderId="0" xfId="0" applyFont="1" applyAlignment="1">
      <alignment horizontal="left" indent="2"/>
    </xf>
    <xf numFmtId="0" fontId="3" fillId="0" borderId="0" xfId="0" applyFont="1" applyAlignment="1">
      <alignment horizontal="left" vertical="center" wrapText="1" indent="2"/>
    </xf>
    <xf numFmtId="0" fontId="9" fillId="5" borderId="9" xfId="4" applyFont="1" applyBorder="1"/>
    <xf numFmtId="10" fontId="0" fillId="0" borderId="9" xfId="1" applyNumberFormat="1" applyFont="1" applyBorder="1" applyAlignment="1">
      <alignment vertical="center"/>
    </xf>
    <xf numFmtId="165" fontId="0" fillId="0" borderId="12" xfId="6" applyNumberFormat="1" applyFont="1" applyBorder="1" applyAlignment="1">
      <alignment horizontal="center" vertical="center"/>
    </xf>
    <xf numFmtId="9" fontId="0" fillId="0" borderId="9" xfId="1" applyFont="1" applyBorder="1"/>
    <xf numFmtId="9" fontId="0" fillId="0" borderId="9" xfId="1" applyFont="1" applyBorder="1" applyAlignment="1">
      <alignment vertical="center"/>
    </xf>
    <xf numFmtId="0" fontId="0" fillId="0" borderId="9" xfId="0" applyBorder="1" applyAlignment="1">
      <alignment horizontal="left" wrapText="1" indent="1"/>
    </xf>
    <xf numFmtId="0" fontId="0" fillId="0" borderId="1" xfId="0" applyBorder="1" applyAlignment="1">
      <alignment horizontal="left" indent="1"/>
    </xf>
    <xf numFmtId="0" fontId="0" fillId="0" borderId="12" xfId="6" applyNumberFormat="1" applyFont="1" applyBorder="1" applyAlignment="1">
      <alignment horizontal="center" vertical="center"/>
    </xf>
    <xf numFmtId="0" fontId="7" fillId="0" borderId="0" xfId="3" applyFont="1" applyFill="1"/>
    <xf numFmtId="9" fontId="3" fillId="0" borderId="0" xfId="1" applyFont="1" applyFill="1" applyAlignment="1">
      <alignment horizontal="center" vertical="center" wrapText="1"/>
    </xf>
    <xf numFmtId="8" fontId="9" fillId="5" borderId="9" xfId="4" applyNumberFormat="1" applyFont="1" applyBorder="1"/>
    <xf numFmtId="8" fontId="0" fillId="0" borderId="9" xfId="0" applyNumberFormat="1" applyBorder="1"/>
    <xf numFmtId="8" fontId="0" fillId="0" borderId="0" xfId="0" applyNumberFormat="1"/>
    <xf numFmtId="8" fontId="0" fillId="0" borderId="6" xfId="0" applyNumberFormat="1" applyBorder="1"/>
    <xf numFmtId="10" fontId="0" fillId="0" borderId="8" xfId="1" applyNumberFormat="1" applyFont="1" applyFill="1" applyBorder="1" applyAlignment="1">
      <alignment horizontal="left" indent="3"/>
    </xf>
    <xf numFmtId="0" fontId="10" fillId="0" borderId="9" xfId="5" applyBorder="1"/>
    <xf numFmtId="0" fontId="0" fillId="0" borderId="0" xfId="0" applyAlignment="1">
      <alignment wrapText="1"/>
    </xf>
    <xf numFmtId="165" fontId="0" fillId="0" borderId="2" xfId="6" applyNumberFormat="1" applyFont="1" applyBorder="1" applyAlignment="1">
      <alignment horizontal="center" vertical="center"/>
    </xf>
    <xf numFmtId="8" fontId="0" fillId="0" borderId="7" xfId="0" applyNumberFormat="1" applyBorder="1"/>
    <xf numFmtId="9" fontId="0" fillId="0" borderId="1" xfId="1" applyFont="1" applyBorder="1"/>
    <xf numFmtId="9" fontId="0" fillId="0" borderId="11" xfId="1" applyFont="1" applyBorder="1"/>
    <xf numFmtId="8" fontId="0" fillId="0" borderId="0" xfId="1" applyNumberFormat="1" applyFont="1" applyBorder="1"/>
    <xf numFmtId="8" fontId="0" fillId="0" borderId="9" xfId="1" applyNumberFormat="1" applyFont="1" applyBorder="1"/>
    <xf numFmtId="0" fontId="0" fillId="0" borderId="12" xfId="0" applyBorder="1"/>
    <xf numFmtId="8" fontId="0" fillId="0" borderId="14" xfId="0" applyNumberFormat="1" applyBorder="1"/>
    <xf numFmtId="8" fontId="0" fillId="0" borderId="15" xfId="0" applyNumberFormat="1" applyBorder="1"/>
    <xf numFmtId="10" fontId="0" fillId="0" borderId="0" xfId="1" applyNumberFormat="1" applyFont="1" applyBorder="1"/>
    <xf numFmtId="0" fontId="0" fillId="0" borderId="4" xfId="0" applyBorder="1"/>
    <xf numFmtId="8" fontId="0" fillId="2" borderId="14" xfId="0" applyNumberFormat="1" applyFill="1" applyBorder="1"/>
    <xf numFmtId="10" fontId="0" fillId="0" borderId="1" xfId="1" applyNumberFormat="1" applyFont="1" applyBorder="1"/>
    <xf numFmtId="10" fontId="0" fillId="0" borderId="11" xfId="1" applyNumberFormat="1" applyFont="1" applyBorder="1"/>
    <xf numFmtId="8" fontId="9" fillId="5" borderId="9" xfId="4" applyNumberFormat="1" applyFont="1" applyBorder="1" applyAlignment="1">
      <alignment wrapText="1"/>
    </xf>
    <xf numFmtId="8" fontId="0" fillId="0" borderId="5" xfId="0" applyNumberFormat="1" applyBorder="1"/>
    <xf numFmtId="8" fontId="0" fillId="0" borderId="8" xfId="0" applyNumberFormat="1" applyBorder="1"/>
    <xf numFmtId="8" fontId="0" fillId="2" borderId="13" xfId="0" applyNumberFormat="1" applyFill="1" applyBorder="1"/>
    <xf numFmtId="10" fontId="0" fillId="0" borderId="1" xfId="1" applyNumberFormat="1" applyFont="1" applyFill="1" applyBorder="1"/>
    <xf numFmtId="10" fontId="0" fillId="2" borderId="1" xfId="0" applyNumberFormat="1" applyFill="1" applyBorder="1"/>
    <xf numFmtId="10" fontId="0" fillId="2" borderId="10" xfId="0" applyNumberFormat="1" applyFill="1" applyBorder="1"/>
    <xf numFmtId="10" fontId="0" fillId="0" borderId="11" xfId="1" applyNumberFormat="1" applyFont="1" applyFill="1" applyBorder="1"/>
    <xf numFmtId="165" fontId="0" fillId="0" borderId="12" xfId="6" applyNumberFormat="1" applyFont="1" applyFill="1" applyBorder="1" applyAlignment="1">
      <alignment horizontal="center" vertical="center"/>
    </xf>
    <xf numFmtId="10" fontId="0" fillId="0" borderId="5" xfId="1" applyNumberFormat="1" applyFont="1" applyFill="1" applyBorder="1" applyAlignment="1">
      <alignment horizontal="left" indent="1"/>
    </xf>
    <xf numFmtId="164" fontId="0" fillId="0" borderId="5" xfId="1" applyNumberFormat="1" applyFont="1" applyFill="1" applyBorder="1"/>
    <xf numFmtId="164" fontId="0" fillId="0" borderId="6" xfId="1" applyNumberFormat="1" applyFont="1" applyFill="1" applyBorder="1"/>
    <xf numFmtId="10" fontId="0" fillId="0" borderId="5" xfId="1" applyNumberFormat="1" applyFont="1" applyFill="1" applyBorder="1" applyAlignment="1">
      <alignment horizontal="left" indent="2"/>
    </xf>
    <xf numFmtId="164" fontId="0" fillId="0" borderId="5" xfId="0" applyNumberFormat="1" applyBorder="1" applyAlignment="1">
      <alignment horizontal="left" indent="2"/>
    </xf>
    <xf numFmtId="164" fontId="0" fillId="0" borderId="5" xfId="0" applyNumberFormat="1" applyBorder="1" applyAlignment="1">
      <alignment horizontal="left" indent="1"/>
    </xf>
    <xf numFmtId="164" fontId="0" fillId="0" borderId="13" xfId="0" applyNumberFormat="1" applyBorder="1" applyAlignment="1">
      <alignment horizontal="left" indent="1"/>
    </xf>
    <xf numFmtId="164" fontId="0" fillId="0" borderId="13" xfId="0" applyNumberFormat="1" applyBorder="1"/>
    <xf numFmtId="164" fontId="0" fillId="0" borderId="14" xfId="0" applyNumberFormat="1" applyBorder="1"/>
    <xf numFmtId="9" fontId="0" fillId="0" borderId="0" xfId="1" applyFont="1" applyBorder="1"/>
    <xf numFmtId="0" fontId="1" fillId="3" borderId="9" xfId="2" applyFont="1" applyBorder="1"/>
    <xf numFmtId="0" fontId="1" fillId="3" borderId="2" xfId="2" applyFont="1" applyBorder="1"/>
    <xf numFmtId="0" fontId="1" fillId="3" borderId="3" xfId="2" applyFont="1" applyBorder="1"/>
    <xf numFmtId="0" fontId="0" fillId="0" borderId="3" xfId="0" applyBorder="1" applyAlignment="1">
      <alignment vertical="center"/>
    </xf>
    <xf numFmtId="2" fontId="0" fillId="0" borderId="9" xfId="0" applyNumberFormat="1" applyBorder="1" applyAlignment="1">
      <alignment vertical="center"/>
    </xf>
    <xf numFmtId="0" fontId="0" fillId="0" borderId="3" xfId="0" applyBorder="1" applyAlignment="1">
      <alignment vertical="center" wrapText="1"/>
    </xf>
    <xf numFmtId="0" fontId="0" fillId="0" borderId="9" xfId="0" applyBorder="1" applyAlignment="1">
      <alignment vertical="center"/>
    </xf>
    <xf numFmtId="165" fontId="0" fillId="0" borderId="9" xfId="0" applyNumberFormat="1" applyBorder="1" applyAlignment="1">
      <alignment vertical="center"/>
    </xf>
    <xf numFmtId="0" fontId="0" fillId="0" borderId="4" xfId="0" applyBorder="1" applyAlignment="1">
      <alignment vertical="center" wrapText="1"/>
    </xf>
    <xf numFmtId="0" fontId="9" fillId="5" borderId="2" xfId="4" applyFont="1" applyBorder="1" applyAlignment="1">
      <alignment horizontal="left" wrapText="1"/>
    </xf>
    <xf numFmtId="0" fontId="0" fillId="0" borderId="3" xfId="0" applyBorder="1" applyAlignment="1">
      <alignment wrapText="1"/>
    </xf>
    <xf numFmtId="0" fontId="9" fillId="5" borderId="3" xfId="4" applyFont="1" applyBorder="1" applyAlignment="1">
      <alignment horizontal="left" wrapText="1"/>
    </xf>
    <xf numFmtId="10" fontId="0" fillId="0" borderId="4" xfId="0" applyNumberFormat="1" applyBorder="1"/>
    <xf numFmtId="0" fontId="0" fillId="0" borderId="0" xfId="0" applyAlignment="1">
      <alignment horizontal="center"/>
    </xf>
    <xf numFmtId="0" fontId="7" fillId="4" borderId="6" xfId="3" applyFont="1" applyBorder="1"/>
    <xf numFmtId="0" fontId="7" fillId="4" borderId="7" xfId="3" applyFont="1" applyBorder="1"/>
    <xf numFmtId="166" fontId="0" fillId="0" borderId="5" xfId="0" applyNumberFormat="1" applyBorder="1"/>
    <xf numFmtId="166" fontId="0" fillId="0" borderId="8" xfId="0" applyNumberFormat="1" applyBorder="1"/>
    <xf numFmtId="166" fontId="0" fillId="0" borderId="0" xfId="0" applyNumberFormat="1"/>
    <xf numFmtId="166" fontId="0" fillId="0" borderId="9" xfId="0" applyNumberFormat="1" applyBorder="1"/>
    <xf numFmtId="9" fontId="0" fillId="0" borderId="8" xfId="1" applyFont="1" applyBorder="1"/>
    <xf numFmtId="0" fontId="9" fillId="5" borderId="12" xfId="4" applyFont="1" applyBorder="1" applyAlignment="1">
      <alignment horizontal="left" wrapText="1"/>
    </xf>
    <xf numFmtId="166" fontId="0" fillId="0" borderId="6" xfId="0" applyNumberFormat="1" applyBorder="1"/>
    <xf numFmtId="166" fontId="0" fillId="0" borderId="7" xfId="0" applyNumberFormat="1" applyBorder="1"/>
    <xf numFmtId="0" fontId="0" fillId="0" borderId="0" xfId="0" applyAlignment="1">
      <alignment vertical="center" wrapText="1"/>
    </xf>
    <xf numFmtId="166" fontId="0" fillId="0" borderId="13" xfId="0" applyNumberFormat="1" applyBorder="1"/>
    <xf numFmtId="166" fontId="0" fillId="0" borderId="14" xfId="0" applyNumberFormat="1" applyBorder="1"/>
    <xf numFmtId="166" fontId="0" fillId="0" borderId="15" xfId="0" applyNumberFormat="1" applyBorder="1"/>
    <xf numFmtId="166" fontId="0" fillId="0" borderId="3" xfId="0" applyNumberFormat="1" applyBorder="1"/>
    <xf numFmtId="9" fontId="0" fillId="0" borderId="3" xfId="1" applyFont="1" applyBorder="1"/>
    <xf numFmtId="10" fontId="0" fillId="0" borderId="3" xfId="0" applyNumberFormat="1" applyBorder="1"/>
    <xf numFmtId="0" fontId="0" fillId="0" borderId="11" xfId="0" applyBorder="1" applyAlignment="1">
      <alignment horizontal="center"/>
    </xf>
    <xf numFmtId="166" fontId="0" fillId="0" borderId="4" xfId="0" applyNumberFormat="1" applyBorder="1"/>
    <xf numFmtId="0" fontId="12" fillId="0" borderId="5" xfId="0" applyFont="1" applyBorder="1" applyAlignment="1">
      <alignment vertical="center"/>
    </xf>
    <xf numFmtId="2" fontId="0" fillId="0" borderId="7" xfId="0" applyNumberFormat="1" applyBorder="1" applyAlignment="1">
      <alignment vertical="center"/>
    </xf>
    <xf numFmtId="9" fontId="0" fillId="0" borderId="4" xfId="1" applyFont="1" applyBorder="1"/>
    <xf numFmtId="2" fontId="0" fillId="0" borderId="9" xfId="0" applyNumberFormat="1" applyBorder="1"/>
    <xf numFmtId="2" fontId="0" fillId="0" borderId="11" xfId="0" applyNumberFormat="1" applyBorder="1"/>
    <xf numFmtId="8" fontId="0" fillId="0" borderId="3" xfId="0" applyNumberFormat="1" applyBorder="1"/>
    <xf numFmtId="8" fontId="0" fillId="0" borderId="10" xfId="0" applyNumberFormat="1" applyBorder="1"/>
    <xf numFmtId="8" fontId="0" fillId="0" borderId="4" xfId="0" applyNumberFormat="1" applyBorder="1"/>
    <xf numFmtId="2" fontId="0" fillId="0" borderId="15" xfId="0" applyNumberFormat="1" applyBorder="1"/>
    <xf numFmtId="2" fontId="0" fillId="0" borderId="3" xfId="1" applyNumberFormat="1" applyFont="1" applyBorder="1"/>
    <xf numFmtId="0" fontId="10" fillId="0" borderId="0" xfId="5"/>
    <xf numFmtId="0" fontId="12" fillId="0" borderId="0" xfId="0" applyFont="1" applyAlignment="1">
      <alignment horizontal="center"/>
    </xf>
    <xf numFmtId="0" fontId="7" fillId="0" borderId="0" xfId="3" applyFont="1" applyFill="1" applyBorder="1"/>
    <xf numFmtId="167" fontId="0" fillId="0" borderId="8" xfId="0" applyNumberFormat="1" applyBorder="1"/>
    <xf numFmtId="167" fontId="0" fillId="0" borderId="0" xfId="0" applyNumberFormat="1"/>
    <xf numFmtId="167" fontId="0" fillId="0" borderId="9" xfId="0" applyNumberFormat="1" applyBorder="1"/>
    <xf numFmtId="167" fontId="0" fillId="0" borderId="3" xfId="0" applyNumberFormat="1" applyBorder="1"/>
    <xf numFmtId="0" fontId="13" fillId="0" borderId="3" xfId="0" applyFont="1" applyBorder="1"/>
    <xf numFmtId="0" fontId="0" fillId="0" borderId="3" xfId="0" applyBorder="1" applyAlignment="1">
      <alignment horizontal="center"/>
    </xf>
    <xf numFmtId="2" fontId="0" fillId="0" borderId="0" xfId="0" applyNumberFormat="1"/>
    <xf numFmtId="0" fontId="3" fillId="6" borderId="0" xfId="3" applyFont="1" applyFill="1"/>
    <xf numFmtId="0" fontId="14" fillId="0" borderId="8" xfId="0" applyFont="1" applyBorder="1" applyAlignment="1">
      <alignment vertical="center"/>
    </xf>
    <xf numFmtId="10" fontId="0" fillId="0" borderId="10" xfId="1" applyNumberFormat="1" applyFont="1" applyFill="1" applyBorder="1" applyAlignment="1">
      <alignment horizontal="left" indent="1"/>
    </xf>
    <xf numFmtId="3" fontId="0" fillId="0" borderId="9" xfId="0" applyNumberFormat="1" applyBorder="1"/>
    <xf numFmtId="164" fontId="0" fillId="0" borderId="15" xfId="0" applyNumberFormat="1" applyBorder="1"/>
    <xf numFmtId="164" fontId="0" fillId="0" borderId="7" xfId="1" applyNumberFormat="1" applyFont="1" applyFill="1" applyBorder="1"/>
    <xf numFmtId="164" fontId="0" fillId="0" borderId="2" xfId="0" applyNumberFormat="1" applyBorder="1"/>
    <xf numFmtId="164" fontId="0" fillId="0" borderId="3" xfId="0" applyNumberFormat="1" applyBorder="1"/>
    <xf numFmtId="0" fontId="15" fillId="2" borderId="3" xfId="0" applyFont="1" applyFill="1" applyBorder="1"/>
    <xf numFmtId="0" fontId="15" fillId="2" borderId="4" xfId="0" applyFont="1" applyFill="1" applyBorder="1"/>
    <xf numFmtId="4" fontId="0" fillId="0" borderId="3" xfId="0" applyNumberFormat="1" applyBorder="1"/>
    <xf numFmtId="10" fontId="0" fillId="0" borderId="3" xfId="1" applyNumberFormat="1" applyFont="1" applyBorder="1"/>
    <xf numFmtId="10" fontId="0" fillId="0" borderId="4" xfId="1" applyNumberFormat="1" applyFont="1" applyBorder="1"/>
    <xf numFmtId="0" fontId="0" fillId="0" borderId="8" xfId="0" applyBorder="1" applyAlignment="1">
      <alignment vertical="center"/>
    </xf>
    <xf numFmtId="8" fontId="0" fillId="0" borderId="9" xfId="0" applyNumberFormat="1" applyBorder="1" applyAlignment="1">
      <alignment vertical="center"/>
    </xf>
    <xf numFmtId="0" fontId="0" fillId="0" borderId="10" xfId="0" applyBorder="1" applyAlignment="1">
      <alignment vertical="center"/>
    </xf>
    <xf numFmtId="0" fontId="0" fillId="0" borderId="2" xfId="0" applyBorder="1" applyAlignment="1">
      <alignment vertical="center"/>
    </xf>
    <xf numFmtId="0" fontId="0" fillId="0" borderId="12" xfId="0" applyBorder="1" applyAlignment="1">
      <alignment vertical="center"/>
    </xf>
    <xf numFmtId="0" fontId="0" fillId="0" borderId="14" xfId="0" applyBorder="1" applyAlignment="1">
      <alignment vertical="center"/>
    </xf>
    <xf numFmtId="8" fontId="0" fillId="0" borderId="11" xfId="0" applyNumberFormat="1" applyBorder="1"/>
    <xf numFmtId="0" fontId="0" fillId="0" borderId="4" xfId="0" applyBorder="1" applyAlignment="1">
      <alignment vertical="center"/>
    </xf>
    <xf numFmtId="8" fontId="0" fillId="0" borderId="7" xfId="0" applyNumberFormat="1" applyBorder="1" applyAlignment="1">
      <alignment vertical="center"/>
    </xf>
    <xf numFmtId="0" fontId="0" fillId="0" borderId="13" xfId="0" applyBorder="1" applyAlignment="1">
      <alignment vertical="center" wrapText="1"/>
    </xf>
    <xf numFmtId="0" fontId="0" fillId="0" borderId="15" xfId="0" applyBorder="1" applyAlignment="1">
      <alignment vertical="center" wrapText="1"/>
    </xf>
    <xf numFmtId="0" fontId="0" fillId="0" borderId="2" xfId="0" applyBorder="1" applyAlignment="1">
      <alignment vertical="center" wrapText="1"/>
    </xf>
    <xf numFmtId="8" fontId="0" fillId="0" borderId="2" xfId="0" applyNumberFormat="1" applyBorder="1" applyAlignment="1">
      <alignment vertical="center" wrapText="1"/>
    </xf>
    <xf numFmtId="8" fontId="0" fillId="0" borderId="3" xfId="0" applyNumberFormat="1" applyBorder="1" applyAlignment="1">
      <alignment vertical="center" wrapText="1"/>
    </xf>
    <xf numFmtId="8" fontId="0" fillId="0" borderId="4" xfId="0" applyNumberFormat="1" applyBorder="1" applyAlignment="1">
      <alignment vertical="center" wrapText="1"/>
    </xf>
    <xf numFmtId="10" fontId="0" fillId="0" borderId="2" xfId="1" applyNumberFormat="1" applyFont="1" applyBorder="1"/>
    <xf numFmtId="10" fontId="0" fillId="0" borderId="13" xfId="1" applyNumberFormat="1" applyFont="1" applyBorder="1"/>
    <xf numFmtId="10" fontId="0" fillId="0" borderId="14" xfId="1" applyNumberFormat="1" applyFont="1" applyBorder="1"/>
    <xf numFmtId="10" fontId="0" fillId="0" borderId="14" xfId="0" applyNumberFormat="1" applyBorder="1"/>
    <xf numFmtId="10" fontId="0" fillId="0" borderId="15" xfId="0" applyNumberFormat="1" applyBorder="1"/>
    <xf numFmtId="8" fontId="0" fillId="0" borderId="1" xfId="0" applyNumberFormat="1" applyBorder="1"/>
    <xf numFmtId="166" fontId="0" fillId="0" borderId="11" xfId="6" applyNumberFormat="1" applyFont="1" applyBorder="1"/>
    <xf numFmtId="0" fontId="13" fillId="0" borderId="0" xfId="0" applyFont="1"/>
    <xf numFmtId="164" fontId="0" fillId="0" borderId="11" xfId="0" applyNumberFormat="1" applyBorder="1"/>
    <xf numFmtId="0" fontId="6" fillId="3" borderId="6" xfId="2" applyFont="1" applyBorder="1"/>
    <xf numFmtId="0" fontId="6" fillId="3" borderId="5" xfId="2" applyFont="1" applyBorder="1"/>
    <xf numFmtId="0" fontId="6" fillId="3" borderId="7" xfId="2" applyFont="1" applyBorder="1"/>
    <xf numFmtId="0" fontId="3" fillId="0" borderId="12" xfId="0" applyFont="1" applyBorder="1" applyAlignment="1">
      <alignment horizontal="center" vertical="center"/>
    </xf>
    <xf numFmtId="0" fontId="6" fillId="3" borderId="13" xfId="2" applyFont="1" applyBorder="1"/>
    <xf numFmtId="0" fontId="6" fillId="3" borderId="14" xfId="2" applyFont="1" applyBorder="1"/>
    <xf numFmtId="0" fontId="6" fillId="3" borderId="15" xfId="2" applyFont="1" applyBorder="1"/>
    <xf numFmtId="0" fontId="7" fillId="4" borderId="13" xfId="3" applyFont="1" applyBorder="1"/>
    <xf numFmtId="0" fontId="7" fillId="4" borderId="14" xfId="3" applyFont="1" applyBorder="1"/>
    <xf numFmtId="0" fontId="7" fillId="4" borderId="15" xfId="3" applyFont="1" applyBorder="1"/>
    <xf numFmtId="164" fontId="2" fillId="2" borderId="12" xfId="0" applyNumberFormat="1" applyFont="1" applyFill="1" applyBorder="1" applyAlignment="1">
      <alignment horizontal="left" indent="1"/>
    </xf>
    <xf numFmtId="164" fontId="2" fillId="2" borderId="12" xfId="0" applyNumberFormat="1" applyFont="1" applyFill="1" applyBorder="1"/>
    <xf numFmtId="164" fontId="2" fillId="2" borderId="13" xfId="1" applyNumberFormat="1" applyFont="1" applyFill="1" applyBorder="1"/>
    <xf numFmtId="164" fontId="2" fillId="2" borderId="14" xfId="1" applyNumberFormat="1" applyFont="1" applyFill="1" applyBorder="1"/>
    <xf numFmtId="164" fontId="2" fillId="2" borderId="15" xfId="1" applyNumberFormat="1" applyFont="1" applyFill="1" applyBorder="1"/>
    <xf numFmtId="0" fontId="7" fillId="4" borderId="5" xfId="3" applyFont="1" applyBorder="1"/>
    <xf numFmtId="164" fontId="2" fillId="2" borderId="13" xfId="0" applyNumberFormat="1" applyFont="1" applyFill="1" applyBorder="1" applyAlignment="1">
      <alignment horizontal="left" indent="1"/>
    </xf>
    <xf numFmtId="164" fontId="2" fillId="2" borderId="13" xfId="0" applyNumberFormat="1" applyFont="1" applyFill="1" applyBorder="1"/>
    <xf numFmtId="164" fontId="2" fillId="2" borderId="14" xfId="0" applyNumberFormat="1" applyFont="1" applyFill="1" applyBorder="1"/>
    <xf numFmtId="164" fontId="2" fillId="2" borderId="15" xfId="0" applyNumberFormat="1" applyFont="1" applyFill="1" applyBorder="1"/>
    <xf numFmtId="3" fontId="0" fillId="0" borderId="8" xfId="0" applyNumberFormat="1" applyBorder="1"/>
    <xf numFmtId="3" fontId="0" fillId="0" borderId="0" xfId="0" applyNumberFormat="1"/>
    <xf numFmtId="0" fontId="0" fillId="2" borderId="5" xfId="0" applyFill="1" applyBorder="1"/>
    <xf numFmtId="0" fontId="0" fillId="2" borderId="8" xfId="0" applyFill="1" applyBorder="1"/>
    <xf numFmtId="0" fontId="0" fillId="2" borderId="8" xfId="0" applyFill="1" applyBorder="1" applyAlignment="1">
      <alignment vertical="center"/>
    </xf>
    <xf numFmtId="8" fontId="0" fillId="0" borderId="13" xfId="0" applyNumberFormat="1" applyBorder="1"/>
    <xf numFmtId="10" fontId="0" fillId="0" borderId="8" xfId="1" applyNumberFormat="1" applyFont="1" applyBorder="1"/>
    <xf numFmtId="8" fontId="0" fillId="2" borderId="5" xfId="0" applyNumberFormat="1" applyFill="1" applyBorder="1"/>
    <xf numFmtId="8" fontId="0" fillId="2" borderId="8" xfId="0" applyNumberFormat="1" applyFill="1" applyBorder="1"/>
    <xf numFmtId="164" fontId="2" fillId="2" borderId="11" xfId="0" applyNumberFormat="1" applyFont="1" applyFill="1" applyBorder="1"/>
    <xf numFmtId="8" fontId="0" fillId="0" borderId="8" xfId="1" applyNumberFormat="1" applyFont="1" applyBorder="1"/>
    <xf numFmtId="8" fontId="0" fillId="2" borderId="10" xfId="0" applyNumberFormat="1" applyFill="1" applyBorder="1"/>
    <xf numFmtId="9" fontId="0" fillId="0" borderId="10" xfId="1" applyFont="1" applyBorder="1"/>
    <xf numFmtId="10" fontId="0" fillId="0" borderId="10" xfId="1" applyNumberFormat="1" applyFont="1" applyBorder="1"/>
    <xf numFmtId="10" fontId="0" fillId="0" borderId="10" xfId="1" applyNumberFormat="1" applyFont="1" applyFill="1" applyBorder="1"/>
    <xf numFmtId="10" fontId="0" fillId="2" borderId="5" xfId="0" applyNumberFormat="1" applyFill="1" applyBorder="1"/>
    <xf numFmtId="10" fontId="0" fillId="2" borderId="8" xfId="0" applyNumberFormat="1" applyFill="1" applyBorder="1"/>
    <xf numFmtId="10" fontId="0" fillId="2" borderId="13" xfId="0" applyNumberFormat="1" applyFill="1" applyBorder="1"/>
    <xf numFmtId="6" fontId="0" fillId="0" borderId="2" xfId="0" applyNumberFormat="1" applyBorder="1"/>
    <xf numFmtId="6" fontId="0" fillId="0" borderId="3" xfId="0" applyNumberFormat="1" applyBorder="1"/>
    <xf numFmtId="6" fontId="0" fillId="0" borderId="4" xfId="0" applyNumberFormat="1" applyBorder="1"/>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5" xfId="0" applyFont="1" applyBorder="1" applyAlignment="1">
      <alignment horizontal="center" vertical="center"/>
    </xf>
    <xf numFmtId="0" fontId="12" fillId="0" borderId="13" xfId="0" applyFont="1" applyBorder="1" applyAlignment="1">
      <alignment horizontal="center"/>
    </xf>
    <xf numFmtId="0" fontId="12" fillId="0" borderId="14" xfId="0" applyFont="1" applyBorder="1" applyAlignment="1">
      <alignment horizontal="center"/>
    </xf>
    <xf numFmtId="0" fontId="12" fillId="0" borderId="15" xfId="0" applyFont="1" applyBorder="1" applyAlignment="1">
      <alignment horizontal="center"/>
    </xf>
    <xf numFmtId="0" fontId="0" fillId="0" borderId="0" xfId="0" applyAlignment="1">
      <alignment horizontal="left" vertical="top" wrapText="1"/>
    </xf>
    <xf numFmtId="0" fontId="0" fillId="0" borderId="3" xfId="0" applyBorder="1" applyAlignment="1">
      <alignment horizontal="left" vertical="center" wrapText="1"/>
    </xf>
    <xf numFmtId="0" fontId="0" fillId="0" borderId="0" xfId="0" applyAlignment="1">
      <alignment vertical="center"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left" vertical="top" wrapText="1"/>
    </xf>
    <xf numFmtId="0" fontId="0" fillId="0" borderId="8" xfId="0" applyBorder="1" applyAlignment="1">
      <alignment horizontal="center"/>
    </xf>
    <xf numFmtId="0" fontId="0" fillId="0" borderId="0" xfId="0" applyAlignment="1">
      <alignment horizontal="center"/>
    </xf>
    <xf numFmtId="0" fontId="0" fillId="0" borderId="9" xfId="0" applyBorder="1" applyAlignment="1">
      <alignment horizontal="center"/>
    </xf>
    <xf numFmtId="165" fontId="0" fillId="0" borderId="2" xfId="6" applyNumberFormat="1" applyFont="1" applyBorder="1" applyAlignment="1">
      <alignment horizontal="center" vertical="center"/>
    </xf>
    <xf numFmtId="165" fontId="0" fillId="0" borderId="4" xfId="6" applyNumberFormat="1" applyFont="1"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center" wrapText="1"/>
    </xf>
    <xf numFmtId="0" fontId="0" fillId="0" borderId="4" xfId="0" applyBorder="1" applyAlignment="1">
      <alignment horizontal="center" wrapText="1"/>
    </xf>
  </cellXfs>
  <cellStyles count="7">
    <cellStyle name="Bad" xfId="4" builtinId="27"/>
    <cellStyle name="Currency" xfId="6" builtinId="4"/>
    <cellStyle name="Good" xfId="2" builtinId="26"/>
    <cellStyle name="Hyperlink" xfId="5" builtinId="8"/>
    <cellStyle name="Neutral" xfId="3"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474C-7583-420D-A134-F847C0F3D072}">
  <dimension ref="B2:Q39"/>
  <sheetViews>
    <sheetView showGridLines="0" zoomScaleNormal="100" workbookViewId="0">
      <selection activeCell="P8" sqref="P8"/>
    </sheetView>
  </sheetViews>
  <sheetFormatPr defaultRowHeight="14.4"/>
  <cols>
    <col min="1" max="1" width="4" customWidth="1"/>
    <col min="2" max="2" width="31.77734375" bestFit="1" customWidth="1"/>
    <col min="3" max="6" width="9.44140625" bestFit="1" customWidth="1"/>
    <col min="7" max="9" width="10.44140625" bestFit="1" customWidth="1"/>
    <col min="10" max="14" width="11.109375" bestFit="1" customWidth="1"/>
    <col min="16" max="16" width="17.6640625" bestFit="1" customWidth="1"/>
    <col min="17" max="17" width="137.6640625" style="74" bestFit="1" customWidth="1"/>
  </cols>
  <sheetData>
    <row r="2" spans="2:17">
      <c r="B2" s="274" t="s">
        <v>18</v>
      </c>
      <c r="C2" s="234" t="s">
        <v>96</v>
      </c>
      <c r="D2" s="233" t="s">
        <v>96</v>
      </c>
      <c r="E2" s="233" t="s">
        <v>96</v>
      </c>
      <c r="F2" s="233" t="s">
        <v>96</v>
      </c>
      <c r="G2" s="233" t="s">
        <v>96</v>
      </c>
      <c r="H2" s="233" t="s">
        <v>96</v>
      </c>
      <c r="I2" s="235" t="s">
        <v>96</v>
      </c>
      <c r="J2" s="157" t="s">
        <v>97</v>
      </c>
      <c r="K2" s="157" t="s">
        <v>97</v>
      </c>
      <c r="L2" s="157" t="s">
        <v>97</v>
      </c>
      <c r="M2" s="157" t="s">
        <v>97</v>
      </c>
      <c r="N2" s="158" t="s">
        <v>97</v>
      </c>
      <c r="P2" s="71" t="s">
        <v>103</v>
      </c>
      <c r="Q2" s="73" t="s">
        <v>106</v>
      </c>
    </row>
    <row r="3" spans="2:17">
      <c r="B3" s="275"/>
      <c r="C3" s="35">
        <v>2019</v>
      </c>
      <c r="D3" s="36">
        <v>2020</v>
      </c>
      <c r="E3" s="36">
        <v>2021</v>
      </c>
      <c r="F3" s="36">
        <v>2022</v>
      </c>
      <c r="G3" s="36">
        <v>2023</v>
      </c>
      <c r="H3" s="36">
        <v>2024</v>
      </c>
      <c r="I3" s="37">
        <v>2025</v>
      </c>
      <c r="J3" s="36">
        <v>2026</v>
      </c>
      <c r="K3" s="36">
        <v>2027</v>
      </c>
      <c r="L3" s="36">
        <v>2028</v>
      </c>
      <c r="M3" s="36">
        <v>2029</v>
      </c>
      <c r="N3" s="37">
        <v>2030</v>
      </c>
      <c r="P3" s="25"/>
    </row>
    <row r="4" spans="2:17" s="2" customFormat="1">
      <c r="B4" s="12" t="s">
        <v>3</v>
      </c>
      <c r="C4" s="17">
        <v>2997.42</v>
      </c>
      <c r="D4" s="6">
        <v>3507.93</v>
      </c>
      <c r="E4" s="6">
        <v>5624.82</v>
      </c>
      <c r="F4" s="6">
        <v>8929</v>
      </c>
      <c r="G4" s="6">
        <v>11856</v>
      </c>
      <c r="H4" s="6">
        <v>14780</v>
      </c>
      <c r="I4" s="7">
        <v>17141</v>
      </c>
      <c r="J4" s="17">
        <f>I4*(1+J5)</f>
        <v>20740.61</v>
      </c>
      <c r="K4" s="6">
        <f t="shared" ref="K4:M4" si="0">J4*(1+K5)</f>
        <v>24785.028950000004</v>
      </c>
      <c r="L4" s="6">
        <f t="shared" si="0"/>
        <v>29246.334161000002</v>
      </c>
      <c r="M4" s="6">
        <f t="shared" si="0"/>
        <v>34071.979297565005</v>
      </c>
      <c r="N4" s="7">
        <f>M4*(1+N5)</f>
        <v>39182.776192199752</v>
      </c>
      <c r="P4" s="9"/>
      <c r="Q4" s="75" t="s">
        <v>107</v>
      </c>
    </row>
    <row r="5" spans="2:17" s="3" customFormat="1">
      <c r="B5" s="13" t="s">
        <v>20</v>
      </c>
      <c r="C5" s="18">
        <v>0</v>
      </c>
      <c r="D5" s="4">
        <f>(D4-C4)/C4</f>
        <v>0.17031647216606274</v>
      </c>
      <c r="E5" s="4">
        <f t="shared" ref="E5:I5" si="1">(E4-D4)/D4</f>
        <v>0.60345844985504271</v>
      </c>
      <c r="F5" s="4">
        <f t="shared" si="1"/>
        <v>0.58742857549219363</v>
      </c>
      <c r="G5" s="4">
        <f t="shared" si="1"/>
        <v>0.32780826520327022</v>
      </c>
      <c r="H5" s="4">
        <f t="shared" si="1"/>
        <v>0.24662618083670715</v>
      </c>
      <c r="I5" s="8">
        <f t="shared" si="1"/>
        <v>0.15974289580514209</v>
      </c>
      <c r="J5" s="18">
        <v>0.21</v>
      </c>
      <c r="K5" s="4">
        <f>J5-0.015</f>
        <v>0.19500000000000001</v>
      </c>
      <c r="L5" s="4">
        <f t="shared" ref="L5:N5" si="2">K5-0.015</f>
        <v>0.18</v>
      </c>
      <c r="M5" s="4">
        <f t="shared" si="2"/>
        <v>0.16499999999999998</v>
      </c>
      <c r="N5" s="8">
        <f t="shared" si="2"/>
        <v>0.14999999999999997</v>
      </c>
      <c r="P5" s="8"/>
      <c r="Q5" s="76"/>
    </row>
    <row r="6" spans="2:17" s="2" customFormat="1">
      <c r="B6" s="14" t="s">
        <v>4</v>
      </c>
      <c r="C6" s="19">
        <v>0</v>
      </c>
      <c r="D6" s="2">
        <v>0</v>
      </c>
      <c r="E6" s="2">
        <v>0</v>
      </c>
      <c r="F6" s="2">
        <v>0</v>
      </c>
      <c r="G6" s="2">
        <v>0</v>
      </c>
      <c r="H6" s="2">
        <v>0</v>
      </c>
      <c r="I6" s="9">
        <v>0</v>
      </c>
      <c r="J6" s="19">
        <v>0</v>
      </c>
      <c r="K6" s="2">
        <v>0</v>
      </c>
      <c r="L6" s="2">
        <v>0</v>
      </c>
      <c r="M6" s="2">
        <v>0</v>
      </c>
      <c r="N6" s="9">
        <v>0</v>
      </c>
      <c r="P6" s="9"/>
      <c r="Q6" s="77" t="s">
        <v>108</v>
      </c>
    </row>
    <row r="7" spans="2:17" s="3" customFormat="1">
      <c r="B7" s="13" t="s">
        <v>5</v>
      </c>
      <c r="C7" s="18">
        <v>1</v>
      </c>
      <c r="D7" s="4">
        <v>1</v>
      </c>
      <c r="E7" s="4">
        <v>1</v>
      </c>
      <c r="F7" s="4">
        <v>1</v>
      </c>
      <c r="G7" s="4">
        <v>1</v>
      </c>
      <c r="H7" s="4">
        <v>1</v>
      </c>
      <c r="I7" s="8">
        <v>1</v>
      </c>
      <c r="J7" s="18">
        <v>1</v>
      </c>
      <c r="K7" s="4">
        <v>1</v>
      </c>
      <c r="L7" s="4">
        <v>1</v>
      </c>
      <c r="M7" s="4">
        <v>1</v>
      </c>
      <c r="N7" s="8">
        <v>1</v>
      </c>
      <c r="P7" s="8"/>
      <c r="Q7" s="76"/>
    </row>
    <row r="8" spans="2:17" s="2" customFormat="1">
      <c r="B8" s="14" t="s">
        <v>6</v>
      </c>
      <c r="C8" s="19">
        <v>0</v>
      </c>
      <c r="D8" s="2">
        <v>0</v>
      </c>
      <c r="E8" s="2">
        <v>0</v>
      </c>
      <c r="F8" s="2">
        <v>0</v>
      </c>
      <c r="G8" s="2">
        <v>0</v>
      </c>
      <c r="H8" s="2">
        <v>0</v>
      </c>
      <c r="I8" s="9">
        <v>0</v>
      </c>
      <c r="J8" s="19">
        <v>0</v>
      </c>
      <c r="K8" s="2">
        <v>0</v>
      </c>
      <c r="L8" s="2">
        <v>0</v>
      </c>
      <c r="M8" s="2">
        <v>0</v>
      </c>
      <c r="N8" s="9">
        <v>0</v>
      </c>
      <c r="P8" s="9"/>
      <c r="Q8" s="77" t="s">
        <v>99</v>
      </c>
    </row>
    <row r="9" spans="2:17" s="2" customFormat="1">
      <c r="B9" s="14"/>
      <c r="C9" s="19"/>
      <c r="I9" s="9"/>
      <c r="J9" s="19"/>
      <c r="N9" s="9"/>
      <c r="P9" s="9"/>
      <c r="Q9" s="77"/>
    </row>
    <row r="10" spans="2:17" s="2" customFormat="1">
      <c r="B10" s="15" t="s">
        <v>7</v>
      </c>
      <c r="C10" s="19"/>
      <c r="F10" s="2">
        <v>689</v>
      </c>
      <c r="G10" s="2">
        <v>366</v>
      </c>
      <c r="H10" s="2">
        <v>460</v>
      </c>
      <c r="I10" s="9">
        <v>672</v>
      </c>
      <c r="J10" s="19">
        <f>J4*$P$10</f>
        <v>725.92135000000007</v>
      </c>
      <c r="K10" s="2">
        <f t="shared" ref="K10:N10" si="3">K4*$P$10</f>
        <v>867.47601325000016</v>
      </c>
      <c r="L10" s="2">
        <f t="shared" si="3"/>
        <v>1023.6216956350002</v>
      </c>
      <c r="M10" s="2">
        <f t="shared" si="3"/>
        <v>1192.5192754147754</v>
      </c>
      <c r="N10" s="9">
        <f t="shared" si="3"/>
        <v>1371.3971667269914</v>
      </c>
      <c r="P10" s="72">
        <v>3.5000000000000003E-2</v>
      </c>
      <c r="Q10" s="78" t="s">
        <v>109</v>
      </c>
    </row>
    <row r="11" spans="2:17" s="2" customFormat="1">
      <c r="B11" s="15" t="s">
        <v>8</v>
      </c>
      <c r="C11" s="19"/>
      <c r="F11" s="2">
        <v>1740</v>
      </c>
      <c r="G11" s="2">
        <v>1859</v>
      </c>
      <c r="H11" s="2">
        <v>2709</v>
      </c>
      <c r="I11" s="9">
        <v>3588</v>
      </c>
      <c r="J11" s="19">
        <f>J4*$P$11</f>
        <v>4071.3817430000004</v>
      </c>
      <c r="K11" s="2">
        <f t="shared" ref="K11:N11" si="4">K4*$P$11</f>
        <v>4865.3011828850003</v>
      </c>
      <c r="L11" s="2">
        <f t="shared" si="4"/>
        <v>5741.0553958043001</v>
      </c>
      <c r="M11" s="2">
        <f t="shared" si="4"/>
        <v>6688.3295361120108</v>
      </c>
      <c r="N11" s="9">
        <f t="shared" si="4"/>
        <v>7691.5789665288112</v>
      </c>
      <c r="P11" s="72">
        <v>0.1963</v>
      </c>
      <c r="Q11" s="75" t="s">
        <v>107</v>
      </c>
    </row>
    <row r="12" spans="2:17" s="2" customFormat="1">
      <c r="B12" s="14" t="s">
        <v>19</v>
      </c>
      <c r="C12" s="19">
        <v>1073.1199999999999</v>
      </c>
      <c r="D12" s="2">
        <v>1241.98</v>
      </c>
      <c r="E12" s="2">
        <v>1484.12</v>
      </c>
      <c r="F12" s="2">
        <f t="shared" ref="F12:H12" si="5">SUM(F10:F11)</f>
        <v>2429</v>
      </c>
      <c r="G12" s="2">
        <f t="shared" si="5"/>
        <v>2225</v>
      </c>
      <c r="H12" s="2">
        <f t="shared" si="5"/>
        <v>3169</v>
      </c>
      <c r="I12" s="9">
        <f>SUM(I10:I11)</f>
        <v>4260</v>
      </c>
      <c r="J12" s="19">
        <f t="shared" ref="J12:N12" si="6">SUM(J10:J11)</f>
        <v>4797.3030930000004</v>
      </c>
      <c r="K12" s="2">
        <f t="shared" si="6"/>
        <v>5732.7771961350008</v>
      </c>
      <c r="L12" s="2">
        <f t="shared" si="6"/>
        <v>6764.6770914393001</v>
      </c>
      <c r="M12" s="2">
        <f t="shared" si="6"/>
        <v>7880.8488115267864</v>
      </c>
      <c r="N12" s="9">
        <f t="shared" si="6"/>
        <v>9062.9761332558028</v>
      </c>
      <c r="P12" s="9"/>
      <c r="Q12" s="77" t="s">
        <v>111</v>
      </c>
    </row>
    <row r="13" spans="2:17" s="2" customFormat="1">
      <c r="B13" s="14"/>
      <c r="C13" s="19"/>
      <c r="I13" s="9"/>
      <c r="J13" s="19"/>
      <c r="N13" s="9"/>
      <c r="P13" s="9"/>
      <c r="Q13" s="77"/>
    </row>
    <row r="14" spans="2:17" s="3" customFormat="1">
      <c r="B14" s="13" t="s">
        <v>112</v>
      </c>
      <c r="C14" s="18">
        <v>0</v>
      </c>
      <c r="D14" s="4">
        <f>(D12-C12)/C12</f>
        <v>0.15735425674668271</v>
      </c>
      <c r="E14" s="4">
        <f t="shared" ref="E14:H14" si="7">(E12-D12)/D12</f>
        <v>0.19496288184994917</v>
      </c>
      <c r="F14" s="4">
        <f t="shared" si="7"/>
        <v>0.63666010834703401</v>
      </c>
      <c r="G14" s="4">
        <f t="shared" si="7"/>
        <v>-8.3985179086043638E-2</v>
      </c>
      <c r="H14" s="4">
        <f t="shared" si="7"/>
        <v>0.42426966292134832</v>
      </c>
      <c r="I14" s="8">
        <f>(I12-H12)/H12</f>
        <v>0.34427264121173873</v>
      </c>
      <c r="J14" s="18">
        <f t="shared" ref="J14" si="8">(J12-I12)/I12</f>
        <v>0.12612748661971843</v>
      </c>
      <c r="K14" s="4">
        <f t="shared" ref="K14" si="9">(K12-J12)/J12</f>
        <v>0.19500000000000006</v>
      </c>
      <c r="L14" s="4">
        <f t="shared" ref="L14" si="10">(L12-K12)/K12</f>
        <v>0.17999999999999983</v>
      </c>
      <c r="M14" s="4">
        <f t="shared" ref="M14" si="11">(M12-L12)/L12</f>
        <v>0.16500000000000029</v>
      </c>
      <c r="N14" s="8">
        <f t="shared" ref="N14" si="12">(N12-M12)/M12</f>
        <v>0.1499999999999998</v>
      </c>
      <c r="P14" s="8"/>
      <c r="Q14" s="76"/>
    </row>
    <row r="15" spans="2:17" s="2" customFormat="1">
      <c r="B15" s="14" t="s">
        <v>21</v>
      </c>
      <c r="C15" s="19">
        <v>1924.3</v>
      </c>
      <c r="D15" s="2">
        <v>2266.0100000000002</v>
      </c>
      <c r="E15" s="2">
        <v>4140.7</v>
      </c>
      <c r="F15" s="2">
        <v>6500</v>
      </c>
      <c r="G15" s="2">
        <v>9631</v>
      </c>
      <c r="H15" s="2">
        <v>11611</v>
      </c>
      <c r="I15" s="9">
        <v>12881</v>
      </c>
      <c r="J15" s="19">
        <f>J4-J12</f>
        <v>15943.306907</v>
      </c>
      <c r="K15" s="2">
        <f t="shared" ref="K15:N15" si="13">K4-K12</f>
        <v>19052.251753865003</v>
      </c>
      <c r="L15" s="2">
        <f t="shared" si="13"/>
        <v>22481.657069560701</v>
      </c>
      <c r="M15" s="2">
        <f t="shared" si="13"/>
        <v>26191.130486038219</v>
      </c>
      <c r="N15" s="9">
        <f t="shared" si="13"/>
        <v>30119.800058943947</v>
      </c>
      <c r="P15" s="9"/>
      <c r="Q15" s="77" t="s">
        <v>113</v>
      </c>
    </row>
    <row r="16" spans="2:17" s="2" customFormat="1">
      <c r="B16" s="22" t="s">
        <v>34</v>
      </c>
      <c r="C16" s="23">
        <f t="shared" ref="C16:I16" si="14">C15-(C4-C12)</f>
        <v>0</v>
      </c>
      <c r="D16" s="41">
        <f t="shared" si="14"/>
        <v>6.0000000000400178E-2</v>
      </c>
      <c r="E16" s="41">
        <f t="shared" si="14"/>
        <v>0</v>
      </c>
      <c r="F16" s="41">
        <f t="shared" si="14"/>
        <v>0</v>
      </c>
      <c r="G16" s="41">
        <f t="shared" si="14"/>
        <v>0</v>
      </c>
      <c r="H16" s="41">
        <f t="shared" si="14"/>
        <v>0</v>
      </c>
      <c r="I16" s="24">
        <f t="shared" si="14"/>
        <v>0</v>
      </c>
      <c r="J16" s="23">
        <f t="shared" ref="J16:N16" si="15">J15-(J4-J12)</f>
        <v>0</v>
      </c>
      <c r="K16" s="41">
        <f t="shared" si="15"/>
        <v>0</v>
      </c>
      <c r="L16" s="41">
        <f t="shared" si="15"/>
        <v>0</v>
      </c>
      <c r="M16" s="41">
        <f t="shared" si="15"/>
        <v>0</v>
      </c>
      <c r="N16" s="24">
        <f t="shared" si="15"/>
        <v>0</v>
      </c>
      <c r="P16" s="9"/>
      <c r="Q16" s="77"/>
    </row>
    <row r="17" spans="2:17" s="2" customFormat="1">
      <c r="B17" s="14"/>
      <c r="C17" s="19"/>
      <c r="I17" s="9"/>
      <c r="J17" s="19"/>
      <c r="N17" s="9"/>
      <c r="P17" s="9"/>
      <c r="Q17" s="77"/>
    </row>
    <row r="18" spans="2:17" s="3" customFormat="1">
      <c r="B18" s="13" t="s">
        <v>9</v>
      </c>
      <c r="C18" s="18">
        <f t="shared" ref="C18:I18" si="16">C15/C4</f>
        <v>0.64198544081243203</v>
      </c>
      <c r="D18" s="4">
        <f t="shared" si="16"/>
        <v>0.64596784998560419</v>
      </c>
      <c r="E18" s="4">
        <f t="shared" si="16"/>
        <v>0.73614800118048218</v>
      </c>
      <c r="F18" s="4">
        <f t="shared" si="16"/>
        <v>0.72796505767723152</v>
      </c>
      <c r="G18" s="4">
        <f t="shared" si="16"/>
        <v>0.81233130904183537</v>
      </c>
      <c r="H18" s="4">
        <f t="shared" si="16"/>
        <v>0.78558863328822737</v>
      </c>
      <c r="I18" s="8">
        <f t="shared" si="16"/>
        <v>0.7514730762499271</v>
      </c>
      <c r="J18" s="18">
        <f t="shared" ref="J18:N18" si="17">J15/J4</f>
        <v>0.76869999999999994</v>
      </c>
      <c r="K18" s="4">
        <f t="shared" si="17"/>
        <v>0.76870000000000005</v>
      </c>
      <c r="L18" s="4">
        <f t="shared" si="17"/>
        <v>0.76869999999999994</v>
      </c>
      <c r="M18" s="4">
        <f t="shared" si="17"/>
        <v>0.76869999999999994</v>
      </c>
      <c r="N18" s="8">
        <f t="shared" si="17"/>
        <v>0.76869999999999994</v>
      </c>
      <c r="P18" s="8"/>
      <c r="Q18" s="76"/>
    </row>
    <row r="19" spans="2:17" s="2" customFormat="1">
      <c r="B19" s="14" t="s">
        <v>10</v>
      </c>
      <c r="C19" s="19">
        <v>142.02000000000001</v>
      </c>
      <c r="D19" s="2">
        <v>180.78</v>
      </c>
      <c r="E19" s="2">
        <v>226.01</v>
      </c>
      <c r="F19" s="2">
        <v>338</v>
      </c>
      <c r="G19" s="2">
        <v>384</v>
      </c>
      <c r="H19" s="2">
        <v>439</v>
      </c>
      <c r="I19" s="9">
        <v>546.59</v>
      </c>
      <c r="J19" s="19">
        <f>'FORCAST SCHEDULES'!J7</f>
        <v>737.83613639999999</v>
      </c>
      <c r="K19" s="2">
        <f>'FORCAST SCHEDULES'!K7</f>
        <v>915.00711528599993</v>
      </c>
      <c r="L19" s="2">
        <f>'FORCAST SCHEDULES'!L7</f>
        <v>1112.3045623872599</v>
      </c>
      <c r="M19" s="2">
        <f>'FORCAST SCHEDULES'!M7</f>
        <v>1330.3052731566049</v>
      </c>
      <c r="N19" s="9">
        <f>'FORCAST SCHEDULES'!N7</f>
        <v>1568.1784737403516</v>
      </c>
      <c r="P19" s="9"/>
      <c r="Q19" s="75" t="s">
        <v>121</v>
      </c>
    </row>
    <row r="20" spans="2:17" s="2" customFormat="1">
      <c r="B20" s="14" t="s">
        <v>11</v>
      </c>
      <c r="C20" s="20">
        <f t="shared" ref="C20:H20" si="18">C15-C19</f>
        <v>1782.28</v>
      </c>
      <c r="D20" s="5">
        <f t="shared" si="18"/>
        <v>2085.23</v>
      </c>
      <c r="E20" s="5">
        <f t="shared" si="18"/>
        <v>3914.6899999999996</v>
      </c>
      <c r="F20" s="5">
        <f t="shared" si="18"/>
        <v>6162</v>
      </c>
      <c r="G20" s="5">
        <f t="shared" si="18"/>
        <v>9247</v>
      </c>
      <c r="H20" s="5">
        <f t="shared" si="18"/>
        <v>11172</v>
      </c>
      <c r="I20" s="10">
        <f>I15-I19</f>
        <v>12334.41</v>
      </c>
      <c r="J20" s="20">
        <f t="shared" ref="J20:N20" si="19">J15-J19</f>
        <v>15205.470770600001</v>
      </c>
      <c r="K20" s="5">
        <f t="shared" si="19"/>
        <v>18137.244638579003</v>
      </c>
      <c r="L20" s="5">
        <f t="shared" si="19"/>
        <v>21369.35250717344</v>
      </c>
      <c r="M20" s="5">
        <f t="shared" si="19"/>
        <v>24860.825212881613</v>
      </c>
      <c r="N20" s="10">
        <f t="shared" si="19"/>
        <v>28551.621585203597</v>
      </c>
      <c r="P20" s="9"/>
      <c r="Q20" s="77" t="s">
        <v>122</v>
      </c>
    </row>
    <row r="21" spans="2:17" s="3" customFormat="1">
      <c r="B21" s="13" t="s">
        <v>12</v>
      </c>
      <c r="C21" s="18">
        <f t="shared" ref="C21:I21" si="20">C20/C4</f>
        <v>0.59460469336963118</v>
      </c>
      <c r="D21" s="4">
        <f t="shared" si="20"/>
        <v>0.59443318424255909</v>
      </c>
      <c r="E21" s="4">
        <f t="shared" si="20"/>
        <v>0.69596715983800372</v>
      </c>
      <c r="F21" s="4">
        <f t="shared" si="20"/>
        <v>0.69011087467801546</v>
      </c>
      <c r="G21" s="4">
        <f t="shared" si="20"/>
        <v>0.77994264507422406</v>
      </c>
      <c r="H21" s="4">
        <f t="shared" si="20"/>
        <v>0.75588633288227336</v>
      </c>
      <c r="I21" s="8">
        <f t="shared" si="20"/>
        <v>0.71958520506388191</v>
      </c>
      <c r="J21" s="18">
        <f t="shared" ref="J21:N21" si="21">J20/J4</f>
        <v>0.73312553346309484</v>
      </c>
      <c r="K21" s="4">
        <f t="shared" si="21"/>
        <v>0.73178226562365989</v>
      </c>
      <c r="L21" s="4">
        <f t="shared" si="21"/>
        <v>0.73066772709140004</v>
      </c>
      <c r="M21" s="4">
        <f t="shared" si="21"/>
        <v>0.7296560318894747</v>
      </c>
      <c r="N21" s="8">
        <f t="shared" si="21"/>
        <v>0.72867786205734608</v>
      </c>
      <c r="P21" s="8"/>
      <c r="Q21" s="76"/>
    </row>
    <row r="22" spans="2:17" s="2" customFormat="1">
      <c r="B22" s="22" t="s">
        <v>33</v>
      </c>
      <c r="C22" s="30">
        <f>C20-(C15-C19)</f>
        <v>0</v>
      </c>
      <c r="D22" s="31">
        <f t="shared" ref="D22:N22" si="22">D20-(D15-D19)</f>
        <v>0</v>
      </c>
      <c r="E22" s="31">
        <f t="shared" si="22"/>
        <v>0</v>
      </c>
      <c r="F22" s="31">
        <f t="shared" si="22"/>
        <v>0</v>
      </c>
      <c r="G22" s="31">
        <f t="shared" si="22"/>
        <v>0</v>
      </c>
      <c r="H22" s="31">
        <f t="shared" si="22"/>
        <v>0</v>
      </c>
      <c r="I22" s="42">
        <f t="shared" si="22"/>
        <v>0</v>
      </c>
      <c r="J22" s="30">
        <f t="shared" si="22"/>
        <v>0</v>
      </c>
      <c r="K22" s="31">
        <f t="shared" si="22"/>
        <v>0</v>
      </c>
      <c r="L22" s="31">
        <f t="shared" si="22"/>
        <v>0</v>
      </c>
      <c r="M22" s="31">
        <f t="shared" si="22"/>
        <v>0</v>
      </c>
      <c r="N22" s="42">
        <f t="shared" si="22"/>
        <v>0</v>
      </c>
      <c r="P22" s="9"/>
      <c r="Q22" s="77"/>
    </row>
    <row r="23" spans="2:17" s="2" customFormat="1">
      <c r="B23" s="27"/>
      <c r="C23" s="28"/>
      <c r="D23" s="43"/>
      <c r="E23" s="43"/>
      <c r="F23" s="43"/>
      <c r="G23" s="43"/>
      <c r="H23" s="43"/>
      <c r="I23" s="29"/>
      <c r="J23" s="19"/>
      <c r="N23" s="9"/>
      <c r="P23" s="9"/>
      <c r="Q23" s="77"/>
    </row>
    <row r="24" spans="2:17" s="2" customFormat="1">
      <c r="B24" s="14" t="s">
        <v>0</v>
      </c>
      <c r="C24" s="19">
        <v>793.92</v>
      </c>
      <c r="D24" s="2">
        <v>502.16</v>
      </c>
      <c r="E24" s="2">
        <v>488.22</v>
      </c>
      <c r="F24" s="2">
        <v>736.42</v>
      </c>
      <c r="G24" s="2">
        <v>997.63</v>
      </c>
      <c r="H24" s="2">
        <v>1754.14</v>
      </c>
      <c r="I24" s="9">
        <v>2165.0100000000002</v>
      </c>
      <c r="J24" s="19">
        <f>I24*(1+$P$24)</f>
        <v>2691.9734340000005</v>
      </c>
      <c r="K24" s="2">
        <f t="shared" ref="K24:N24" si="23">J24*(1+$P$24)</f>
        <v>3347.1997678356006</v>
      </c>
      <c r="L24" s="2">
        <f t="shared" si="23"/>
        <v>4161.9081913267864</v>
      </c>
      <c r="M24" s="2">
        <f t="shared" si="23"/>
        <v>5174.9166450957264</v>
      </c>
      <c r="N24" s="9">
        <f t="shared" si="23"/>
        <v>6434.4913565120269</v>
      </c>
      <c r="P24" s="72">
        <v>0.24340000000000001</v>
      </c>
      <c r="Q24" s="78" t="s">
        <v>123</v>
      </c>
    </row>
    <row r="25" spans="2:17" s="2" customFormat="1">
      <c r="B25" s="14" t="s">
        <v>1</v>
      </c>
      <c r="C25" s="19">
        <v>0</v>
      </c>
      <c r="D25" s="2">
        <v>62.08</v>
      </c>
      <c r="E25" s="2">
        <v>-62.08</v>
      </c>
      <c r="F25" s="2">
        <v>0</v>
      </c>
      <c r="G25" s="2">
        <v>203.45</v>
      </c>
      <c r="H25" s="2">
        <v>1741.97</v>
      </c>
      <c r="I25" s="9">
        <v>234.09</v>
      </c>
      <c r="J25" s="19">
        <v>0</v>
      </c>
      <c r="K25" s="2">
        <v>0</v>
      </c>
      <c r="L25" s="2">
        <v>0</v>
      </c>
      <c r="M25" s="2">
        <v>0</v>
      </c>
      <c r="N25" s="9">
        <v>0</v>
      </c>
      <c r="P25" s="9"/>
      <c r="Q25" s="75" t="s">
        <v>107</v>
      </c>
    </row>
    <row r="26" spans="2:17" s="2" customFormat="1">
      <c r="B26" s="14" t="s">
        <v>13</v>
      </c>
      <c r="C26" s="19">
        <v>2576.21</v>
      </c>
      <c r="D26" s="2">
        <v>2525.25</v>
      </c>
      <c r="E26" s="2">
        <v>4465.97</v>
      </c>
      <c r="F26" s="2">
        <v>6912</v>
      </c>
      <c r="G26" s="2">
        <v>10041</v>
      </c>
      <c r="H26" s="2">
        <v>11184</v>
      </c>
      <c r="I26" s="9">
        <f>15474.78+198</f>
        <v>15672.78</v>
      </c>
      <c r="J26" s="19">
        <f>J20+J24+J25</f>
        <v>17897.4442046</v>
      </c>
      <c r="K26" s="2">
        <f t="shared" ref="K26:N26" si="24">K20+K24+K25</f>
        <v>21484.444406414605</v>
      </c>
      <c r="L26" s="2">
        <f t="shared" si="24"/>
        <v>25531.260698500228</v>
      </c>
      <c r="M26" s="2">
        <f t="shared" si="24"/>
        <v>30035.74185797734</v>
      </c>
      <c r="N26" s="9">
        <f t="shared" si="24"/>
        <v>34986.112941715626</v>
      </c>
      <c r="P26" s="9"/>
      <c r="Q26" s="77"/>
    </row>
    <row r="27" spans="2:17" s="3" customFormat="1">
      <c r="B27" s="13" t="s">
        <v>14</v>
      </c>
      <c r="C27" s="18">
        <f t="shared" ref="C27:I27" si="25">C26/C4</f>
        <v>0.85947581586831345</v>
      </c>
      <c r="D27" s="4">
        <f t="shared" si="25"/>
        <v>0.71986898256236587</v>
      </c>
      <c r="E27" s="4">
        <f t="shared" si="25"/>
        <v>0.79397562944236444</v>
      </c>
      <c r="F27" s="4">
        <f t="shared" si="25"/>
        <v>0.77410684287154219</v>
      </c>
      <c r="G27" s="4">
        <f t="shared" si="25"/>
        <v>0.84691295546558709</v>
      </c>
      <c r="H27" s="4">
        <f t="shared" si="25"/>
        <v>0.75669824086603521</v>
      </c>
      <c r="I27" s="8">
        <f t="shared" si="25"/>
        <v>0.91434455399334935</v>
      </c>
      <c r="J27" s="18">
        <f t="shared" ref="J27:N27" si="26">J26/J4</f>
        <v>0.86291792790086697</v>
      </c>
      <c r="K27" s="4">
        <f t="shared" si="26"/>
        <v>0.86683152356836768</v>
      </c>
      <c r="L27" s="4">
        <f t="shared" si="26"/>
        <v>0.87297302143754385</v>
      </c>
      <c r="M27" s="4">
        <f t="shared" si="26"/>
        <v>0.88153792286801136</v>
      </c>
      <c r="N27" s="8">
        <f t="shared" si="26"/>
        <v>0.89289520400753097</v>
      </c>
      <c r="P27" s="8"/>
      <c r="Q27" s="76"/>
    </row>
    <row r="28" spans="2:17" s="3" customFormat="1">
      <c r="B28" s="13"/>
      <c r="C28" s="18"/>
      <c r="D28" s="4"/>
      <c r="E28" s="4"/>
      <c r="F28" s="4"/>
      <c r="G28" s="4"/>
      <c r="H28" s="4"/>
      <c r="I28" s="8"/>
      <c r="J28" s="18"/>
      <c r="K28" s="4"/>
      <c r="L28" s="4"/>
      <c r="M28" s="4"/>
      <c r="N28" s="8"/>
      <c r="P28" s="8"/>
      <c r="Q28" s="76"/>
    </row>
    <row r="29" spans="2:17" s="2" customFormat="1">
      <c r="B29" s="14" t="s">
        <v>2</v>
      </c>
      <c r="C29" s="19">
        <v>868.17</v>
      </c>
      <c r="D29" s="2">
        <v>640.47</v>
      </c>
      <c r="E29" s="2">
        <v>891.55</v>
      </c>
      <c r="F29" s="2">
        <v>1714</v>
      </c>
      <c r="G29" s="2">
        <v>2540</v>
      </c>
      <c r="H29" s="2">
        <v>2778</v>
      </c>
      <c r="I29" s="9">
        <v>3869</v>
      </c>
      <c r="J29" s="19">
        <f>J26*$P$29</f>
        <v>4474.3610511500001</v>
      </c>
      <c r="K29" s="2">
        <f t="shared" ref="K29:N29" si="27">K26*$P$29</f>
        <v>5371.1111016036512</v>
      </c>
      <c r="L29" s="2">
        <f t="shared" si="27"/>
        <v>6382.8151746250569</v>
      </c>
      <c r="M29" s="2">
        <f t="shared" si="27"/>
        <v>7508.9354644943351</v>
      </c>
      <c r="N29" s="9">
        <f t="shared" si="27"/>
        <v>8746.5282354289066</v>
      </c>
      <c r="P29" s="96">
        <v>0.25</v>
      </c>
      <c r="Q29" s="77" t="s">
        <v>125</v>
      </c>
    </row>
    <row r="30" spans="2:17" s="3" customFormat="1">
      <c r="B30" s="13" t="s">
        <v>22</v>
      </c>
      <c r="C30" s="18">
        <f t="shared" ref="C30:N30" si="28">C29/C26</f>
        <v>0.33699504310595796</v>
      </c>
      <c r="D30" s="4">
        <f t="shared" si="28"/>
        <v>0.25362637362637364</v>
      </c>
      <c r="E30" s="4">
        <f t="shared" si="28"/>
        <v>0.19963188288322581</v>
      </c>
      <c r="F30" s="4">
        <f t="shared" si="28"/>
        <v>0.24797453703703703</v>
      </c>
      <c r="G30" s="4">
        <f t="shared" si="28"/>
        <v>0.25296285230554727</v>
      </c>
      <c r="H30" s="4">
        <f t="shared" si="28"/>
        <v>0.24839055793991416</v>
      </c>
      <c r="I30" s="8">
        <f t="shared" si="28"/>
        <v>0.24686111844867342</v>
      </c>
      <c r="J30" s="18">
        <f t="shared" si="28"/>
        <v>0.25</v>
      </c>
      <c r="K30" s="4">
        <f t="shared" si="28"/>
        <v>0.25</v>
      </c>
      <c r="L30" s="4">
        <f t="shared" si="28"/>
        <v>0.25</v>
      </c>
      <c r="M30" s="4">
        <f t="shared" si="28"/>
        <v>0.25</v>
      </c>
      <c r="N30" s="8">
        <f t="shared" si="28"/>
        <v>0.25</v>
      </c>
      <c r="P30" s="8"/>
      <c r="Q30" s="76"/>
    </row>
    <row r="31" spans="2:17" s="3" customFormat="1">
      <c r="B31" s="13"/>
      <c r="C31" s="18"/>
      <c r="D31" s="4"/>
      <c r="E31" s="4"/>
      <c r="F31" s="4"/>
      <c r="G31" s="4"/>
      <c r="H31" s="4"/>
      <c r="I31" s="8"/>
      <c r="J31" s="18"/>
      <c r="K31" s="4"/>
      <c r="L31" s="4"/>
      <c r="M31" s="4"/>
      <c r="N31" s="8"/>
      <c r="P31" s="8"/>
      <c r="Q31" s="76"/>
    </row>
    <row r="32" spans="2:17" s="2" customFormat="1">
      <c r="B32" s="14" t="s">
        <v>23</v>
      </c>
      <c r="C32" s="20">
        <v>0</v>
      </c>
      <c r="D32" s="5">
        <v>0</v>
      </c>
      <c r="E32" s="5">
        <v>0</v>
      </c>
      <c r="F32" s="5">
        <v>134.6</v>
      </c>
      <c r="G32" s="5">
        <v>145.9</v>
      </c>
      <c r="H32" s="5">
        <v>100.7</v>
      </c>
      <c r="I32" s="10">
        <v>581.94000000000005</v>
      </c>
      <c r="J32" s="19">
        <v>0</v>
      </c>
      <c r="K32" s="2">
        <v>0</v>
      </c>
      <c r="L32" s="2">
        <v>0</v>
      </c>
      <c r="M32" s="2">
        <v>0</v>
      </c>
      <c r="N32" s="9">
        <v>0</v>
      </c>
      <c r="P32" s="9"/>
      <c r="Q32" s="75" t="s">
        <v>107</v>
      </c>
    </row>
    <row r="33" spans="2:17" s="2" customFormat="1">
      <c r="B33" s="14" t="s">
        <v>15</v>
      </c>
      <c r="C33" s="19">
        <f t="shared" ref="C33:H33" si="29">C26-C29-C32</f>
        <v>1708.04</v>
      </c>
      <c r="D33" s="2">
        <f t="shared" si="29"/>
        <v>1884.78</v>
      </c>
      <c r="E33" s="2">
        <f t="shared" si="29"/>
        <v>3574.42</v>
      </c>
      <c r="F33" s="2">
        <f t="shared" si="29"/>
        <v>5063.3999999999996</v>
      </c>
      <c r="G33" s="2">
        <f t="shared" si="29"/>
        <v>7355.1</v>
      </c>
      <c r="H33" s="2">
        <f t="shared" si="29"/>
        <v>8305.2999999999993</v>
      </c>
      <c r="I33" s="9">
        <f>I26-I29-I32</f>
        <v>11221.84</v>
      </c>
      <c r="J33" s="19">
        <f t="shared" ref="J33:N33" si="30">J26-J29-J32</f>
        <v>13423.083153449999</v>
      </c>
      <c r="K33" s="2">
        <f t="shared" si="30"/>
        <v>16113.333304810953</v>
      </c>
      <c r="L33" s="2">
        <f t="shared" si="30"/>
        <v>19148.445523875169</v>
      </c>
      <c r="M33" s="2">
        <f t="shared" si="30"/>
        <v>22526.806393483006</v>
      </c>
      <c r="N33" s="9">
        <f t="shared" si="30"/>
        <v>26239.584706286718</v>
      </c>
      <c r="P33" s="9"/>
      <c r="Q33" s="77"/>
    </row>
    <row r="34" spans="2:17" s="3" customFormat="1">
      <c r="B34" s="13" t="s">
        <v>20</v>
      </c>
      <c r="C34" s="18">
        <v>0</v>
      </c>
      <c r="D34" s="4">
        <f>(D33-C33)/C33</f>
        <v>0.1034753284466406</v>
      </c>
      <c r="E34" s="4">
        <f t="shared" ref="E34:I34" si="31">(E33-D33)/D33</f>
        <v>0.89646536996360326</v>
      </c>
      <c r="F34" s="4">
        <f t="shared" si="31"/>
        <v>0.41656548474997329</v>
      </c>
      <c r="G34" s="4">
        <f t="shared" si="31"/>
        <v>0.45260101907808997</v>
      </c>
      <c r="H34" s="4">
        <f t="shared" si="31"/>
        <v>0.12918927003031894</v>
      </c>
      <c r="I34" s="8">
        <f t="shared" si="31"/>
        <v>0.35116612283722454</v>
      </c>
      <c r="J34" s="18">
        <f t="shared" ref="J34" si="32">(J33-I33)/I33</f>
        <v>0.1961570610033648</v>
      </c>
      <c r="K34" s="4">
        <f t="shared" ref="K34" si="33">(K33-J33)/J33</f>
        <v>0.20041968902423921</v>
      </c>
      <c r="L34" s="4">
        <f t="shared" ref="L34" si="34">(L33-K33)/K33</f>
        <v>0.18836029526913739</v>
      </c>
      <c r="M34" s="4">
        <f t="shared" ref="M34" si="35">(M33-L33)/L33</f>
        <v>0.17643003268309904</v>
      </c>
      <c r="N34" s="8">
        <f t="shared" ref="N34" si="36">(N33-M33)/M33</f>
        <v>0.16481600844573407</v>
      </c>
      <c r="P34" s="8"/>
      <c r="Q34" s="76"/>
    </row>
    <row r="35" spans="2:17" s="3" customFormat="1">
      <c r="B35" s="13" t="s">
        <v>16</v>
      </c>
      <c r="C35" s="18">
        <f t="shared" ref="C35:I35" si="37">C33/C4</f>
        <v>0.56983672625124271</v>
      </c>
      <c r="D35" s="4">
        <f t="shared" si="37"/>
        <v>0.53729122302896581</v>
      </c>
      <c r="E35" s="4">
        <f t="shared" si="37"/>
        <v>0.63547277957339088</v>
      </c>
      <c r="F35" s="4">
        <f t="shared" si="37"/>
        <v>0.56707358046813749</v>
      </c>
      <c r="G35" s="4">
        <f t="shared" si="37"/>
        <v>0.62036943319838056</v>
      </c>
      <c r="H35" s="4">
        <f t="shared" si="37"/>
        <v>0.56192828146143436</v>
      </c>
      <c r="I35" s="8">
        <f t="shared" si="37"/>
        <v>0.65467825681115455</v>
      </c>
      <c r="J35" s="18">
        <f t="shared" ref="J35:N35" si="38">J33/J4</f>
        <v>0.64718844592565017</v>
      </c>
      <c r="K35" s="4">
        <f t="shared" si="38"/>
        <v>0.65012364267627576</v>
      </c>
      <c r="L35" s="4">
        <f t="shared" si="38"/>
        <v>0.65472976607815792</v>
      </c>
      <c r="M35" s="4">
        <f t="shared" si="38"/>
        <v>0.66115344215100857</v>
      </c>
      <c r="N35" s="8">
        <f t="shared" si="38"/>
        <v>0.6696714030056482</v>
      </c>
      <c r="P35" s="8"/>
      <c r="Q35" s="76"/>
    </row>
    <row r="36" spans="2:17" s="2" customFormat="1">
      <c r="B36" s="22" t="s">
        <v>32</v>
      </c>
      <c r="C36" s="30">
        <f>C33-(C26-C29-C32)</f>
        <v>0</v>
      </c>
      <c r="D36" s="31">
        <f t="shared" ref="D36:N36" si="39">D33-(D26-D29-D32)</f>
        <v>0</v>
      </c>
      <c r="E36" s="31">
        <f t="shared" si="39"/>
        <v>0</v>
      </c>
      <c r="F36" s="31">
        <f t="shared" si="39"/>
        <v>0</v>
      </c>
      <c r="G36" s="31">
        <f t="shared" si="39"/>
        <v>0</v>
      </c>
      <c r="H36" s="31">
        <f t="shared" si="39"/>
        <v>0</v>
      </c>
      <c r="I36" s="42">
        <f>I33-(I26-I29-I32)</f>
        <v>0</v>
      </c>
      <c r="J36" s="30">
        <f t="shared" si="39"/>
        <v>0</v>
      </c>
      <c r="K36" s="31">
        <f t="shared" si="39"/>
        <v>0</v>
      </c>
      <c r="L36" s="31">
        <f t="shared" si="39"/>
        <v>0</v>
      </c>
      <c r="M36" s="31">
        <f t="shared" si="39"/>
        <v>0</v>
      </c>
      <c r="N36" s="42">
        <f t="shared" si="39"/>
        <v>0</v>
      </c>
      <c r="O36" s="58"/>
      <c r="P36" s="9"/>
      <c r="Q36" s="77"/>
    </row>
    <row r="37" spans="2:17" s="3" customFormat="1">
      <c r="B37" s="13"/>
      <c r="C37" s="18"/>
      <c r="D37" s="4"/>
      <c r="E37" s="4"/>
      <c r="F37" s="4"/>
      <c r="G37" s="4"/>
      <c r="H37" s="4"/>
      <c r="I37" s="8"/>
      <c r="J37" s="18"/>
      <c r="K37" s="4"/>
      <c r="L37" s="4"/>
      <c r="M37" s="4"/>
      <c r="N37" s="8"/>
      <c r="P37" s="8"/>
      <c r="Q37" s="76"/>
    </row>
    <row r="38" spans="2:17" s="3" customFormat="1">
      <c r="B38" s="13" t="s">
        <v>35</v>
      </c>
      <c r="C38" s="38">
        <v>247.5</v>
      </c>
      <c r="D38" s="39">
        <f>C38</f>
        <v>247.5</v>
      </c>
      <c r="E38" s="39">
        <f t="shared" ref="E38:J38" si="40">D38</f>
        <v>247.5</v>
      </c>
      <c r="F38" s="39">
        <f t="shared" si="40"/>
        <v>247.5</v>
      </c>
      <c r="G38" s="39">
        <f t="shared" si="40"/>
        <v>247.5</v>
      </c>
      <c r="H38" s="39">
        <f t="shared" si="40"/>
        <v>247.5</v>
      </c>
      <c r="I38" s="40">
        <f t="shared" si="40"/>
        <v>247.5</v>
      </c>
      <c r="J38" s="38">
        <f t="shared" si="40"/>
        <v>247.5</v>
      </c>
      <c r="K38" s="39">
        <f t="shared" ref="K38" si="41">J38</f>
        <v>247.5</v>
      </c>
      <c r="L38" s="39">
        <f t="shared" ref="L38" si="42">K38</f>
        <v>247.5</v>
      </c>
      <c r="M38" s="39">
        <f t="shared" ref="M38" si="43">L38</f>
        <v>247.5</v>
      </c>
      <c r="N38" s="40">
        <f t="shared" ref="N38" si="44">M38</f>
        <v>247.5</v>
      </c>
      <c r="P38" s="8"/>
      <c r="Q38" s="75" t="s">
        <v>107</v>
      </c>
    </row>
    <row r="39" spans="2:17" s="2" customFormat="1">
      <c r="B39" s="16" t="s">
        <v>17</v>
      </c>
      <c r="C39" s="21">
        <f>C33/C38</f>
        <v>6.9011717171717173</v>
      </c>
      <c r="D39" s="11">
        <f t="shared" ref="D39:N39" si="45">D33/D38</f>
        <v>7.6152727272727274</v>
      </c>
      <c r="E39" s="11">
        <f t="shared" si="45"/>
        <v>14.442101010101011</v>
      </c>
      <c r="F39" s="11">
        <f t="shared" si="45"/>
        <v>20.458181818181817</v>
      </c>
      <c r="G39" s="11">
        <f t="shared" si="45"/>
        <v>29.717575757575759</v>
      </c>
      <c r="H39" s="11">
        <f t="shared" si="45"/>
        <v>33.556767676767677</v>
      </c>
      <c r="I39" s="11">
        <f t="shared" si="45"/>
        <v>45.340767676767676</v>
      </c>
      <c r="J39" s="21">
        <f t="shared" si="45"/>
        <v>54.234679407878787</v>
      </c>
      <c r="K39" s="11">
        <f t="shared" si="45"/>
        <v>65.104376989135162</v>
      </c>
      <c r="L39" s="11">
        <f t="shared" si="45"/>
        <v>77.367456662121896</v>
      </c>
      <c r="M39" s="11">
        <f t="shared" si="45"/>
        <v>91.01739956962831</v>
      </c>
      <c r="N39" s="232">
        <f t="shared" si="45"/>
        <v>106.01852406580493</v>
      </c>
      <c r="P39" s="9"/>
      <c r="Q39" s="77"/>
    </row>
  </sheetData>
  <mergeCells count="1">
    <mergeCell ref="B2:B3"/>
  </mergeCells>
  <hyperlinks>
    <hyperlink ref="Q4" location="'ASSUMPTIONS AND REASONING'!A1" display="VIEW ASSUMPTIONS AND REASONING FILE" xr:uid="{3757BB06-EDA3-48C4-AC3C-0321EA88CED7}"/>
    <hyperlink ref="Q11" location="'ASSUMPTIONS AND REASONING'!A1" display="VIEW ASSUMPTIONS AND REASONING FILE" xr:uid="{890559A7-7D7B-4709-88E0-883773C95DCF}"/>
    <hyperlink ref="Q19" location="'FORCAST SCHEDULES'!A1" display="VIEW FORCAST SCHEDULES" xr:uid="{6AA5539E-A6B6-438D-ADA2-A888CCE168CA}"/>
    <hyperlink ref="Q25" location="'ASSUMPTIONS AND REASONING'!A1" display="VIEW ASSUMPTIONS AND REASONING FILE" xr:uid="{957025EF-79DF-469A-B6F8-67251AE3AD8B}"/>
    <hyperlink ref="Q32" location="'ASSUMPTIONS AND REASONING'!A1" display="VIEW ASSUMPTIONS AND REASONING FILE" xr:uid="{CF038D9E-D9D5-4222-8226-0A115B5EB08E}"/>
    <hyperlink ref="Q38" location="'ASSUMPTIONS AND REASONING'!A1" display="VIEW ASSUMPTIONS AND REASONING FILE" xr:uid="{F7F73577-BC05-428E-A3DE-A86C3A91C59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3067-D86D-4C7D-9766-DC4D7F7419B4}">
  <dimension ref="B2:R35"/>
  <sheetViews>
    <sheetView showGridLines="0" tabSelected="1" workbookViewId="0">
      <selection activeCell="B19" sqref="B19"/>
    </sheetView>
  </sheetViews>
  <sheetFormatPr defaultRowHeight="14.4"/>
  <cols>
    <col min="1" max="1" width="3" customWidth="1"/>
    <col min="2" max="2" width="45.77734375" bestFit="1" customWidth="1"/>
    <col min="3" max="3" width="95.5546875" style="57" bestFit="1" customWidth="1"/>
    <col min="4" max="4" width="9.44140625" bestFit="1" customWidth="1"/>
    <col min="5" max="5" width="10.109375" bestFit="1" customWidth="1"/>
    <col min="6" max="14" width="10.44140625" bestFit="1" customWidth="1"/>
    <col min="15" max="15" width="12" bestFit="1" customWidth="1"/>
    <col min="17" max="17" width="26.109375" style="105" bestFit="1" customWidth="1"/>
    <col min="18" max="18" width="118" bestFit="1" customWidth="1"/>
  </cols>
  <sheetData>
    <row r="2" spans="2:18">
      <c r="B2" s="276" t="s">
        <v>18</v>
      </c>
      <c r="C2" s="277"/>
      <c r="D2" s="237" t="s">
        <v>96</v>
      </c>
      <c r="E2" s="238" t="s">
        <v>96</v>
      </c>
      <c r="F2" s="238" t="s">
        <v>96</v>
      </c>
      <c r="G2" s="238" t="s">
        <v>96</v>
      </c>
      <c r="H2" s="238" t="s">
        <v>96</v>
      </c>
      <c r="I2" s="238" t="s">
        <v>96</v>
      </c>
      <c r="J2" s="239" t="s">
        <v>96</v>
      </c>
      <c r="K2" s="240" t="s">
        <v>97</v>
      </c>
      <c r="L2" s="241" t="s">
        <v>97</v>
      </c>
      <c r="M2" s="241" t="s">
        <v>97</v>
      </c>
      <c r="N2" s="241" t="s">
        <v>97</v>
      </c>
      <c r="O2" s="242" t="s">
        <v>97</v>
      </c>
      <c r="Q2" s="103" t="s">
        <v>103</v>
      </c>
      <c r="R2" s="90" t="s">
        <v>106</v>
      </c>
    </row>
    <row r="3" spans="2:18">
      <c r="B3" s="278"/>
      <c r="C3" s="279"/>
      <c r="D3" s="33">
        <v>2019</v>
      </c>
      <c r="E3" s="1">
        <v>2020</v>
      </c>
      <c r="F3" s="1">
        <v>2021</v>
      </c>
      <c r="G3" s="1">
        <v>2022</v>
      </c>
      <c r="H3" s="1">
        <v>2023</v>
      </c>
      <c r="I3" s="1">
        <v>2024</v>
      </c>
      <c r="J3" s="26">
        <v>2025</v>
      </c>
      <c r="K3" s="33">
        <v>2026</v>
      </c>
      <c r="L3" s="1">
        <v>2027</v>
      </c>
      <c r="M3" s="1">
        <v>2028</v>
      </c>
      <c r="N3" s="1">
        <v>2029</v>
      </c>
      <c r="O3" s="26">
        <v>2030</v>
      </c>
      <c r="Q3" s="104"/>
      <c r="R3" s="91"/>
    </row>
    <row r="4" spans="2:18">
      <c r="B4" s="34"/>
      <c r="C4" s="236" t="s">
        <v>61</v>
      </c>
      <c r="D4" s="35"/>
      <c r="E4" s="36"/>
      <c r="F4" s="36"/>
      <c r="G4" s="36"/>
      <c r="H4" s="36"/>
      <c r="I4" s="36"/>
      <c r="J4" s="37"/>
      <c r="K4" s="35"/>
      <c r="L4" s="36"/>
      <c r="M4" s="36"/>
      <c r="N4" s="36"/>
      <c r="O4" s="37"/>
      <c r="Q4" s="104"/>
      <c r="R4" s="91"/>
    </row>
    <row r="5" spans="2:18">
      <c r="B5" s="61" t="s">
        <v>62</v>
      </c>
      <c r="C5" s="66"/>
      <c r="D5" s="17"/>
      <c r="E5" s="6"/>
      <c r="F5" s="6"/>
      <c r="G5" s="6"/>
      <c r="H5" s="6"/>
      <c r="I5" s="6"/>
      <c r="J5" s="6"/>
      <c r="K5" s="17"/>
      <c r="L5" s="1"/>
      <c r="M5" s="1"/>
      <c r="N5" s="1"/>
      <c r="O5" s="26"/>
      <c r="Q5" s="104"/>
      <c r="R5" s="75"/>
    </row>
    <row r="6" spans="2:18">
      <c r="B6" s="62" t="s">
        <v>63</v>
      </c>
      <c r="C6" s="67" t="s">
        <v>64</v>
      </c>
      <c r="D6" s="19"/>
      <c r="E6" s="2">
        <f>'INCOME STATEMENT'!D33</f>
        <v>1884.78</v>
      </c>
      <c r="F6" s="2">
        <f>'INCOME STATEMENT'!E33</f>
        <v>3574.42</v>
      </c>
      <c r="G6" s="2">
        <f>'INCOME STATEMENT'!F33</f>
        <v>5063.3999999999996</v>
      </c>
      <c r="H6" s="2">
        <f>'INCOME STATEMENT'!G33</f>
        <v>7355.1</v>
      </c>
      <c r="I6" s="2">
        <f>'INCOME STATEMENT'!H33</f>
        <v>8305.2999999999993</v>
      </c>
      <c r="J6" s="2">
        <f>'INCOME STATEMENT'!I33</f>
        <v>11221.84</v>
      </c>
      <c r="K6" s="19">
        <f>'INCOME STATEMENT'!J33</f>
        <v>13423.083153449999</v>
      </c>
      <c r="L6" s="2">
        <f>'INCOME STATEMENT'!K33</f>
        <v>16113.333304810953</v>
      </c>
      <c r="M6" s="2">
        <f>'INCOME STATEMENT'!L33</f>
        <v>19148.445523875169</v>
      </c>
      <c r="N6" s="2">
        <f>'INCOME STATEMENT'!M33</f>
        <v>22526.806393483006</v>
      </c>
      <c r="O6" s="9">
        <f>'INCOME STATEMENT'!N33</f>
        <v>26239.584706286718</v>
      </c>
      <c r="Q6" s="104"/>
    </row>
    <row r="7" spans="2:18">
      <c r="B7" s="63" t="s">
        <v>10</v>
      </c>
      <c r="C7" s="67" t="s">
        <v>64</v>
      </c>
      <c r="D7" s="19"/>
      <c r="E7" s="2">
        <f>'INCOME STATEMENT'!D19</f>
        <v>180.78</v>
      </c>
      <c r="F7" s="2">
        <f>'INCOME STATEMENT'!E19</f>
        <v>226.01</v>
      </c>
      <c r="G7" s="2">
        <f>'INCOME STATEMENT'!F19</f>
        <v>338</v>
      </c>
      <c r="H7" s="2">
        <f>'INCOME STATEMENT'!G19</f>
        <v>384</v>
      </c>
      <c r="I7" s="2">
        <f>'INCOME STATEMENT'!H19</f>
        <v>439</v>
      </c>
      <c r="J7" s="2">
        <f>'INCOME STATEMENT'!I19</f>
        <v>546.59</v>
      </c>
      <c r="K7" s="19">
        <f>'INCOME STATEMENT'!J19</f>
        <v>737.83613639999999</v>
      </c>
      <c r="L7" s="2">
        <f>'INCOME STATEMENT'!K19</f>
        <v>915.00711528599993</v>
      </c>
      <c r="M7" s="2">
        <f>'INCOME STATEMENT'!L19</f>
        <v>1112.3045623872599</v>
      </c>
      <c r="N7" s="2">
        <f>'INCOME STATEMENT'!M19</f>
        <v>1330.3052731566049</v>
      </c>
      <c r="O7" s="9">
        <f>'INCOME STATEMENT'!N19</f>
        <v>1568.1784737403516</v>
      </c>
      <c r="Q7" s="104"/>
    </row>
    <row r="8" spans="2:18">
      <c r="B8" s="62" t="s">
        <v>65</v>
      </c>
      <c r="C8" s="67" t="s">
        <v>70</v>
      </c>
      <c r="D8" s="19"/>
      <c r="E8" s="2">
        <f>-('BALANCE SHEET'!D24-'BALANCE SHEET'!C24)</f>
        <v>-199.60000000000002</v>
      </c>
      <c r="F8" s="2">
        <f>-'BALANCE SHEET'!E24+'BALANCE SHEET'!D24</f>
        <v>-346.47</v>
      </c>
      <c r="G8" s="2">
        <f>-'BALANCE SHEET'!F24+'BALANCE SHEET'!E24</f>
        <v>-616.37</v>
      </c>
      <c r="H8" s="2">
        <f>-'BALANCE SHEET'!G24+'BALANCE SHEET'!F24</f>
        <v>25.740000000000009</v>
      </c>
      <c r="I8" s="2">
        <f>-'BALANCE SHEET'!H24+'BALANCE SHEET'!G24</f>
        <v>-275.45000000000005</v>
      </c>
      <c r="J8" s="2">
        <f>-'BALANCE SHEET'!I24+'BALANCE SHEET'!H24</f>
        <v>352.45000000000005</v>
      </c>
      <c r="K8" s="19">
        <f>-'BALANCE SHEET'!J24+'BALANCE SHEET'!I24</f>
        <v>-874.38073972602751</v>
      </c>
      <c r="L8" s="2">
        <f>-'BALANCE SHEET'!K24+'BALANCE SHEET'!J24</f>
        <v>-329.57681643835667</v>
      </c>
      <c r="M8" s="2">
        <f>-'BALANCE SHEET'!L24+'BALANCE SHEET'!K24</f>
        <v>-328.65627429588994</v>
      </c>
      <c r="N8" s="2">
        <f>-'BALANCE SHEET'!M24+'BALANCE SHEET'!L24</f>
        <v>-689.09170899890432</v>
      </c>
      <c r="O8" s="9">
        <f>-'BALANCE SHEET'!N24+'BALANCE SHEET'!M24</f>
        <v>-452.73725915942441</v>
      </c>
      <c r="Q8" s="104"/>
    </row>
    <row r="9" spans="2:18">
      <c r="B9" s="63" t="s">
        <v>66</v>
      </c>
      <c r="C9" s="67" t="s">
        <v>70</v>
      </c>
      <c r="D9" s="19"/>
      <c r="E9" s="2">
        <f>-'BALANCE SHEET'!D26+'BALANCE SHEET'!C26</f>
        <v>-4454.97</v>
      </c>
      <c r="F9" s="2">
        <f>-'BALANCE SHEET'!E26+'BALANCE SHEET'!D26</f>
        <v>1866.9100000000008</v>
      </c>
      <c r="G9" s="2">
        <f>-'BALANCE SHEET'!F26+'BALANCE SHEET'!E26</f>
        <v>-2482.0400000000009</v>
      </c>
      <c r="H9" s="2">
        <f>-'BALANCE SHEET'!G26+'BALANCE SHEET'!F26</f>
        <v>-555.43999999999869</v>
      </c>
      <c r="I9" s="2">
        <f>-'BALANCE SHEET'!H26+'BALANCE SHEET'!G26</f>
        <v>-2560.6100000000006</v>
      </c>
      <c r="J9" s="2">
        <f>-'BALANCE SHEET'!I26+'BALANCE SHEET'!H26</f>
        <v>-6390.9100000000017</v>
      </c>
      <c r="K9" s="19">
        <f>-'BALANCE SHEET'!J26+'BALANCE SHEET'!I26</f>
        <v>52.42035858294912</v>
      </c>
      <c r="L9" s="2">
        <f>-'BALANCE SHEET'!K26+'BALANCE SHEET'!J26</f>
        <v>-4347.9566904037165</v>
      </c>
      <c r="M9" s="2">
        <f>-'BALANCE SHEET'!L26+'BALANCE SHEET'!K26</f>
        <v>-5129.136271449468</v>
      </c>
      <c r="N9" s="2">
        <f>-'BALANCE SHEET'!M26+'BALANCE SHEET'!L26</f>
        <v>-3253.1001065683558</v>
      </c>
      <c r="O9" s="9">
        <f>-'BALANCE SHEET'!N26+'BALANCE SHEET'!M26</f>
        <v>-5063.4586320623384</v>
      </c>
      <c r="Q9" s="104"/>
    </row>
    <row r="10" spans="2:18">
      <c r="B10" s="62" t="s">
        <v>67</v>
      </c>
      <c r="C10" s="67" t="s">
        <v>69</v>
      </c>
      <c r="D10" s="19"/>
      <c r="E10" s="2">
        <f>'BALANCE SHEET'!D12-'BALANCE SHEET'!C12</f>
        <v>2915.59</v>
      </c>
      <c r="F10" s="2">
        <f>'BALANCE SHEET'!E12-'BALANCE SHEET'!D12</f>
        <v>1675.4600000000009</v>
      </c>
      <c r="G10" s="2">
        <f>'BALANCE SHEET'!F12-'BALANCE SHEET'!E12</f>
        <v>1929.9399999999987</v>
      </c>
      <c r="H10" s="2">
        <f>'BALANCE SHEET'!G12-'BALANCE SHEET'!F12</f>
        <v>-5078.1899999999987</v>
      </c>
      <c r="I10" s="2">
        <f>'BALANCE SHEET'!H12-'BALANCE SHEET'!G12</f>
        <v>21641.620000000003</v>
      </c>
      <c r="J10" s="2">
        <f>'BALANCE SHEET'!I12-'BALANCE SHEET'!H12</f>
        <v>-5836.5400000000009</v>
      </c>
      <c r="K10" s="19">
        <f>'BALANCE SHEET'!J12-'BALANCE SHEET'!I12</f>
        <v>66.015772713290062</v>
      </c>
      <c r="L10" s="2">
        <f>'BALANCE SHEET'!K12-'BALANCE SHEET'!J12</f>
        <v>248.20807873806916</v>
      </c>
      <c r="M10" s="2">
        <f>'BALANCE SHEET'!L12-'BALANCE SHEET'!K12</f>
        <v>288.58469611643886</v>
      </c>
      <c r="N10" s="2">
        <f>'BALANCE SHEET'!M12-'BALANCE SHEET'!L12</f>
        <v>428.592663534655</v>
      </c>
      <c r="O10" s="9">
        <f>'BALANCE SHEET'!N12-'BALANCE SHEET'!M12</f>
        <v>509.20027549343286</v>
      </c>
      <c r="Q10" s="104"/>
    </row>
    <row r="11" spans="2:18">
      <c r="B11" s="63" t="s">
        <v>68</v>
      </c>
      <c r="C11" s="67" t="s">
        <v>69</v>
      </c>
      <c r="D11" s="19"/>
      <c r="E11" s="2">
        <f>'BALANCE SHEET'!D16-'BALANCE SHEET'!C16</f>
        <v>369.09000000000015</v>
      </c>
      <c r="F11" s="2">
        <f>'BALANCE SHEET'!E16-'BALANCE SHEET'!D16</f>
        <v>366.15999999999985</v>
      </c>
      <c r="G11" s="2">
        <f>'BALANCE SHEET'!F16-'BALANCE SHEET'!E16</f>
        <v>462.29999999999973</v>
      </c>
      <c r="H11" s="2">
        <f>'BALANCE SHEET'!G16-'BALANCE SHEET'!F16</f>
        <v>1028.5700000000006</v>
      </c>
      <c r="I11" s="2">
        <f>'BALANCE SHEET'!H16-'BALANCE SHEET'!G16</f>
        <v>3626.6500000000005</v>
      </c>
      <c r="J11" s="2">
        <f>'BALANCE SHEET'!I16-'BALANCE SHEET'!H16</f>
        <v>3165.0599999999995</v>
      </c>
      <c r="K11" s="19">
        <f>'BALANCE SHEET'!J16-'BALANCE SHEET'!I16</f>
        <v>-1075.3536953692801</v>
      </c>
      <c r="L11" s="2">
        <f>'BALANCE SHEET'!K16-'BALANCE SHEET'!J16</f>
        <v>-553.35891728639763</v>
      </c>
      <c r="M11" s="2">
        <f>'BALANCE SHEET'!L16-'BALANCE SHEET'!K16</f>
        <v>1262.9507224649842</v>
      </c>
      <c r="N11" s="2">
        <f>'BALANCE SHEET'!M16-'BALANCE SHEET'!L16</f>
        <v>33.507562239263279</v>
      </c>
      <c r="O11" s="9">
        <f>'BALANCE SHEET'!N16-'BALANCE SHEET'!M16</f>
        <v>456.33531106252121</v>
      </c>
      <c r="Q11" s="104"/>
    </row>
    <row r="12" spans="2:18">
      <c r="B12" s="63" t="s">
        <v>92</v>
      </c>
      <c r="C12" s="67" t="s">
        <v>69</v>
      </c>
      <c r="D12" s="19"/>
      <c r="E12" s="2">
        <f>'BALANCE SHEET'!D9-'BALANCE SHEET'!C9</f>
        <v>73.539999999999964</v>
      </c>
      <c r="F12" s="2">
        <f>'BALANCE SHEET'!E9-'BALANCE SHEET'!D9</f>
        <v>-20.269999999999982</v>
      </c>
      <c r="G12" s="2">
        <f>'BALANCE SHEET'!F9-'BALANCE SHEET'!E9</f>
        <v>226.79000000000002</v>
      </c>
      <c r="H12" s="2">
        <f>'BALANCE SHEET'!G9-'BALANCE SHEET'!F9</f>
        <v>-55.139999999999986</v>
      </c>
      <c r="I12" s="2">
        <f>'BALANCE SHEET'!H9-'BALANCE SHEET'!G9</f>
        <v>137.88999999999999</v>
      </c>
      <c r="J12" s="2">
        <f>'BALANCE SHEET'!I9-'BALANCE SHEET'!H9</f>
        <v>294.66999999999996</v>
      </c>
      <c r="K12" s="19">
        <f>'BALANCE SHEET'!J9-'BALANCE SHEET'!I9</f>
        <v>184.03476173776562</v>
      </c>
      <c r="L12" s="2">
        <f>'BALANCE SHEET'!K9-'BALANCE SHEET'!J9</f>
        <v>366.00113759239889</v>
      </c>
      <c r="M12" s="2">
        <f>'BALANCE SHEET'!L9-'BALANCE SHEET'!K9</f>
        <v>506.41467594798587</v>
      </c>
      <c r="N12" s="2">
        <f>'BALANCE SHEET'!M9-'BALANCE SHEET'!L9</f>
        <v>589.76468183884072</v>
      </c>
      <c r="O12" s="9">
        <f>'BALANCE SHEET'!N9-'BALANCE SHEET'!M9</f>
        <v>853.25878524350946</v>
      </c>
      <c r="Q12" s="104"/>
    </row>
    <row r="13" spans="2:18">
      <c r="B13" s="64" t="s">
        <v>71</v>
      </c>
      <c r="C13" s="68"/>
      <c r="D13" s="17"/>
      <c r="E13" s="6">
        <f>SUM(E6:E12)</f>
        <v>769.21</v>
      </c>
      <c r="F13" s="6">
        <f t="shared" ref="F13:O13" si="0">SUM(F6:F12)</f>
        <v>7342.2200000000012</v>
      </c>
      <c r="G13" s="6">
        <f t="shared" si="0"/>
        <v>4922.0199999999977</v>
      </c>
      <c r="H13" s="6">
        <f t="shared" si="0"/>
        <v>3104.6400000000035</v>
      </c>
      <c r="I13" s="6">
        <f t="shared" si="0"/>
        <v>31314.400000000001</v>
      </c>
      <c r="J13" s="6">
        <f>SUM(J6:J12)</f>
        <v>3353.159999999998</v>
      </c>
      <c r="K13" s="17">
        <f t="shared" si="0"/>
        <v>12513.655747788696</v>
      </c>
      <c r="L13" s="6">
        <f t="shared" si="0"/>
        <v>12411.657212298951</v>
      </c>
      <c r="M13" s="6">
        <f t="shared" si="0"/>
        <v>16860.907635046482</v>
      </c>
      <c r="N13" s="6">
        <f t="shared" si="0"/>
        <v>20966.784758685109</v>
      </c>
      <c r="O13" s="7">
        <f t="shared" si="0"/>
        <v>24110.361660604769</v>
      </c>
      <c r="Q13" s="104"/>
    </row>
    <row r="14" spans="2:18">
      <c r="B14" s="63"/>
      <c r="C14" s="67"/>
      <c r="D14" s="19"/>
      <c r="E14" s="2"/>
      <c r="F14" s="2"/>
      <c r="G14" s="2"/>
      <c r="H14" s="2"/>
      <c r="I14" s="2"/>
      <c r="J14" s="2"/>
      <c r="K14" s="19"/>
      <c r="O14" s="25"/>
      <c r="Q14" s="104"/>
    </row>
    <row r="15" spans="2:18">
      <c r="B15" s="56" t="s">
        <v>79</v>
      </c>
      <c r="C15" s="67"/>
      <c r="D15" s="20"/>
      <c r="E15" s="5"/>
      <c r="F15" s="5"/>
      <c r="G15" s="5"/>
      <c r="H15" s="5"/>
      <c r="I15" s="5"/>
      <c r="J15" s="5"/>
      <c r="K15" s="19"/>
      <c r="O15" s="25"/>
      <c r="Q15" s="104"/>
    </row>
    <row r="16" spans="2:18">
      <c r="B16" s="62" t="s">
        <v>73</v>
      </c>
      <c r="C16" s="67" t="s">
        <v>91</v>
      </c>
      <c r="D16" s="20"/>
      <c r="E16" s="5">
        <f>('BALANCE SHEET'!D20-'BALANCE SHEET'!C20)+'INCOME STATEMENT'!D19</f>
        <v>166.83999999999995</v>
      </c>
      <c r="F16" s="5">
        <f>('BALANCE SHEET'!E20-'BALANCE SHEET'!D20)+'INCOME STATEMENT'!E19</f>
        <v>390.0200000000001</v>
      </c>
      <c r="G16" s="5">
        <f>('BALANCE SHEET'!F20-'BALANCE SHEET'!E20)+'INCOME STATEMENT'!F19</f>
        <v>686.36</v>
      </c>
      <c r="H16" s="5">
        <f>('BALANCE SHEET'!G20-'BALANCE SHEET'!F20)+'INCOME STATEMENT'!G19</f>
        <v>300.52</v>
      </c>
      <c r="I16" s="5">
        <f>('BALANCE SHEET'!H20-'BALANCE SHEET'!G20)+'INCOME STATEMENT'!H19</f>
        <v>476.94000000000005</v>
      </c>
      <c r="J16" s="5">
        <f>('BALANCE SHEET'!I20-'BALANCE SHEET'!H20)+'INCOME STATEMENT'!I19</f>
        <v>1103.08</v>
      </c>
      <c r="K16" s="20">
        <f>('BALANCE SHEET'!J20-'BALANCE SHEET'!I20)+'INCOME STATEMENT'!J19</f>
        <v>1161.4741599999995</v>
      </c>
      <c r="L16" s="5">
        <f>('BALANCE SHEET'!K20-'BALANCE SHEET'!J20)+'INCOME STATEMENT'!K19</f>
        <v>1387.9616212000001</v>
      </c>
      <c r="M16" s="5">
        <f>('BALANCE SHEET'!L20-'BALANCE SHEET'!K20)+'INCOME STATEMENT'!L19</f>
        <v>1637.7947130160001</v>
      </c>
      <c r="N16" s="5">
        <f>('BALANCE SHEET'!M20-'BALANCE SHEET'!L20)+'INCOME STATEMENT'!M19</f>
        <v>1908.03084066364</v>
      </c>
      <c r="O16" s="10">
        <f>('BALANCE SHEET'!N20-'BALANCE SHEET'!M20)+'INCOME STATEMENT'!N19</f>
        <v>2194.2354667631862</v>
      </c>
      <c r="Q16" s="104"/>
    </row>
    <row r="17" spans="2:18">
      <c r="B17" s="63" t="s">
        <v>74</v>
      </c>
      <c r="C17" s="67" t="s">
        <v>77</v>
      </c>
      <c r="D17" s="20"/>
      <c r="E17" s="5">
        <f>-('BALANCE SHEET'!D21-'BALANCE SHEET'!C21)</f>
        <v>585.90000000000055</v>
      </c>
      <c r="F17" s="5">
        <f>-('BALANCE SHEET'!E21-'BALANCE SHEET'!D21)</f>
        <v>-2612.09</v>
      </c>
      <c r="G17" s="5">
        <f>-('BALANCE SHEET'!F21-'BALANCE SHEET'!E21)</f>
        <v>-89.399999999999636</v>
      </c>
      <c r="H17" s="5">
        <f>-('BALANCE SHEET'!G21-'BALANCE SHEET'!F21)</f>
        <v>-4464.47</v>
      </c>
      <c r="I17" s="5">
        <f>-('BALANCE SHEET'!H21-'BALANCE SHEET'!G21)</f>
        <v>-8431.5099999999984</v>
      </c>
      <c r="J17" s="5">
        <f>-('BALANCE SHEET'!I21-'BALANCE SHEET'!H21)</f>
        <v>381.37999999999738</v>
      </c>
      <c r="K17" s="20">
        <f>-('BALANCE SHEET'!J21-'BALANCE SHEET'!I21)</f>
        <v>-155.98624815991934</v>
      </c>
      <c r="L17" s="5">
        <f>-('BALANCE SHEET'!K21-'BALANCE SHEET'!J21)</f>
        <v>-441.0215696963387</v>
      </c>
      <c r="M17" s="5">
        <f>-('BALANCE SHEET'!L21-'BALANCE SHEET'!K21)</f>
        <v>-391.72199996379641</v>
      </c>
      <c r="N17" s="5">
        <f>-('BALANCE SHEET'!M21-'BALANCE SHEET'!L21)</f>
        <v>-419.51742066277802</v>
      </c>
      <c r="O17" s="10">
        <f>-('BALANCE SHEET'!N21-'BALANCE SHEET'!M21)</f>
        <v>-450.22470919241823</v>
      </c>
      <c r="Q17" s="104"/>
    </row>
    <row r="18" spans="2:18">
      <c r="B18" s="62" t="s">
        <v>75</v>
      </c>
      <c r="C18" s="67" t="s">
        <v>78</v>
      </c>
      <c r="D18" s="20"/>
      <c r="E18" s="5">
        <f>-('BALANCE SHEET'!D29-'BALANCE SHEET'!C29)</f>
        <v>-440</v>
      </c>
      <c r="F18" s="5">
        <f>-('BALANCE SHEET'!E29-'BALANCE SHEET'!D29)</f>
        <v>440</v>
      </c>
      <c r="G18" s="5">
        <f>-('BALANCE SHEET'!F29-'BALANCE SHEET'!E29)</f>
        <v>0</v>
      </c>
      <c r="H18" s="5">
        <f>-('BALANCE SHEET'!G29-'BALANCE SHEET'!F29)</f>
        <v>-786.21</v>
      </c>
      <c r="I18" s="5">
        <f>-('BALANCE SHEET'!H29-'BALANCE SHEET'!G29)</f>
        <v>-66.289999999999964</v>
      </c>
      <c r="J18" s="5">
        <f>-('BALANCE SHEET'!I29-'BALANCE SHEET'!H29)</f>
        <v>614.1</v>
      </c>
      <c r="K18" s="20">
        <f>-('BALANCE SHEET'!J29-'BALANCE SHEET'!I29)</f>
        <v>238.4</v>
      </c>
      <c r="L18" s="5">
        <f>-('BALANCE SHEET'!K29-'BALANCE SHEET'!J29)</f>
        <v>0</v>
      </c>
      <c r="M18" s="5">
        <f>-('BALANCE SHEET'!L29-'BALANCE SHEET'!K29)</f>
        <v>0</v>
      </c>
      <c r="N18" s="5">
        <f>-('BALANCE SHEET'!M29-'BALANCE SHEET'!L29)</f>
        <v>0</v>
      </c>
      <c r="O18" s="10">
        <f>-('BALANCE SHEET'!N29-'BALANCE SHEET'!M29)</f>
        <v>0</v>
      </c>
      <c r="Q18" s="104"/>
    </row>
    <row r="19" spans="2:18">
      <c r="B19" s="62"/>
      <c r="C19" s="67"/>
      <c r="D19" s="19"/>
      <c r="E19" s="2"/>
      <c r="F19" s="2"/>
      <c r="G19" s="2"/>
      <c r="H19" s="2"/>
      <c r="I19" s="2"/>
      <c r="J19" s="2"/>
      <c r="K19" s="19"/>
      <c r="O19" s="25"/>
      <c r="Q19" s="104"/>
    </row>
    <row r="20" spans="2:18">
      <c r="B20" s="64" t="s">
        <v>80</v>
      </c>
      <c r="C20" s="68"/>
      <c r="D20" s="17"/>
      <c r="E20" s="6">
        <f>E17+E18-E16</f>
        <v>-20.939999999999401</v>
      </c>
      <c r="F20" s="6">
        <f t="shared" ref="F20:O20" si="1">F17+F18-F16</f>
        <v>-2562.11</v>
      </c>
      <c r="G20" s="6">
        <f t="shared" si="1"/>
        <v>-775.75999999999965</v>
      </c>
      <c r="H20" s="6">
        <f t="shared" si="1"/>
        <v>-5551.2000000000007</v>
      </c>
      <c r="I20" s="6">
        <f t="shared" si="1"/>
        <v>-8974.74</v>
      </c>
      <c r="J20" s="6">
        <f t="shared" si="1"/>
        <v>-107.60000000000252</v>
      </c>
      <c r="K20" s="17">
        <f t="shared" si="1"/>
        <v>-1079.0604081599188</v>
      </c>
      <c r="L20" s="6">
        <f t="shared" si="1"/>
        <v>-1828.9831908963388</v>
      </c>
      <c r="M20" s="6">
        <f t="shared" si="1"/>
        <v>-2029.5167129797965</v>
      </c>
      <c r="N20" s="6">
        <f t="shared" si="1"/>
        <v>-2327.548261326418</v>
      </c>
      <c r="O20" s="7">
        <f t="shared" si="1"/>
        <v>-2644.4601759556044</v>
      </c>
      <c r="Q20" s="104"/>
    </row>
    <row r="21" spans="2:18">
      <c r="B21" s="65"/>
      <c r="C21" s="69"/>
      <c r="D21" s="19"/>
      <c r="E21" s="2"/>
      <c r="F21" s="2"/>
      <c r="G21" s="2"/>
      <c r="H21" s="2"/>
      <c r="I21" s="2"/>
      <c r="J21" s="2"/>
      <c r="K21" s="19"/>
      <c r="O21" s="25"/>
      <c r="Q21" s="104"/>
    </row>
    <row r="22" spans="2:18">
      <c r="B22" s="56" t="s">
        <v>72</v>
      </c>
      <c r="C22" s="69"/>
      <c r="D22" s="19"/>
      <c r="E22" s="2"/>
      <c r="F22" s="2"/>
      <c r="G22" s="2"/>
      <c r="H22" s="2"/>
      <c r="I22" s="2"/>
      <c r="J22" s="2"/>
      <c r="K22" s="19"/>
      <c r="O22" s="25"/>
      <c r="Q22" s="104"/>
    </row>
    <row r="23" spans="2:18">
      <c r="B23" s="62" t="s">
        <v>81</v>
      </c>
      <c r="C23" s="69" t="s">
        <v>84</v>
      </c>
      <c r="D23" s="19"/>
      <c r="E23" s="2">
        <v>0</v>
      </c>
      <c r="F23" s="2">
        <v>0</v>
      </c>
      <c r="G23" s="2">
        <v>0</v>
      </c>
      <c r="H23" s="2">
        <v>0</v>
      </c>
      <c r="I23" s="2">
        <v>0</v>
      </c>
      <c r="J23" s="2">
        <v>0</v>
      </c>
      <c r="K23" s="19">
        <v>0</v>
      </c>
      <c r="L23" s="2">
        <v>0</v>
      </c>
      <c r="M23" s="2">
        <v>0</v>
      </c>
      <c r="N23" s="2">
        <v>0</v>
      </c>
      <c r="O23" s="9">
        <v>0</v>
      </c>
      <c r="Q23" s="104"/>
    </row>
    <row r="24" spans="2:18">
      <c r="B24" s="63" t="s">
        <v>82</v>
      </c>
      <c r="C24" s="69" t="s">
        <v>85</v>
      </c>
      <c r="D24" s="19"/>
      <c r="E24" s="2">
        <v>0</v>
      </c>
      <c r="F24" s="2">
        <v>0</v>
      </c>
      <c r="G24" s="2">
        <v>0</v>
      </c>
      <c r="H24" s="2">
        <v>0</v>
      </c>
      <c r="I24" s="2">
        <v>0</v>
      </c>
      <c r="J24" s="2">
        <v>0</v>
      </c>
      <c r="K24" s="19">
        <v>0</v>
      </c>
      <c r="L24" s="2">
        <v>0</v>
      </c>
      <c r="M24" s="2">
        <v>0</v>
      </c>
      <c r="N24" s="2">
        <v>0</v>
      </c>
      <c r="O24" s="9">
        <v>0</v>
      </c>
      <c r="Q24" s="104"/>
    </row>
    <row r="25" spans="2:18" ht="42" customHeight="1">
      <c r="B25" s="62" t="s">
        <v>83</v>
      </c>
      <c r="C25" s="69" t="s">
        <v>90</v>
      </c>
      <c r="D25" s="19"/>
      <c r="E25" s="2">
        <f>'INCOME STATEMENT'!D33-('BALANCE SHEET'!D7-'BALANCE SHEET'!C7)</f>
        <v>1051.0500000000004</v>
      </c>
      <c r="F25" s="2">
        <f>'INCOME STATEMENT'!E33-('BALANCE SHEET'!E7-'BALANCE SHEET'!D7)</f>
        <v>560.45999999999913</v>
      </c>
      <c r="G25" s="2">
        <f>'INCOME STATEMENT'!F33-('BALANCE SHEET'!F7-'BALANCE SHEET'!E7)</f>
        <v>1281.0699999999997</v>
      </c>
      <c r="H25" s="2">
        <f>'INCOME STATEMENT'!G33-('BALANCE SHEET'!G7-'BALANCE SHEET'!F7)</f>
        <v>2293</v>
      </c>
      <c r="I25" s="2">
        <f>'INCOME STATEMENT'!H33-('BALANCE SHEET'!H7-'BALANCE SHEET'!G7)</f>
        <v>4811.7999999999993</v>
      </c>
      <c r="J25" s="2">
        <f>'INCOME STATEMENT'!I33-('BALANCE SHEET'!I7-'BALANCE SHEET'!H7)+198</f>
        <v>5040.3899999999994</v>
      </c>
      <c r="K25" s="19">
        <f>'FORCAST SCHEDULES'!J24</f>
        <v>5100.7715983110002</v>
      </c>
      <c r="L25" s="2">
        <f>'FORCAST SCHEDULES'!K24</f>
        <v>6123.0666558281619</v>
      </c>
      <c r="M25" s="2">
        <f>'FORCAST SCHEDULES'!L24</f>
        <v>7276.409299072564</v>
      </c>
      <c r="N25" s="2">
        <f>'FORCAST SCHEDULES'!M24</f>
        <v>8560.1864295235428</v>
      </c>
      <c r="O25" s="9">
        <f>'FORCAST SCHEDULES'!N24</f>
        <v>9971.0421883889521</v>
      </c>
      <c r="Q25" s="108" t="s">
        <v>140</v>
      </c>
      <c r="R25" s="109" t="s">
        <v>146</v>
      </c>
    </row>
    <row r="26" spans="2:18">
      <c r="B26" s="62" t="s">
        <v>145</v>
      </c>
      <c r="C26" s="69"/>
      <c r="D26" s="19"/>
      <c r="E26" s="2"/>
      <c r="F26" s="2"/>
      <c r="G26" s="2"/>
      <c r="H26" s="2"/>
      <c r="I26" s="2"/>
      <c r="J26" s="2">
        <v>198</v>
      </c>
      <c r="K26" s="19"/>
      <c r="L26" s="2"/>
      <c r="M26" s="2"/>
      <c r="N26" s="2"/>
      <c r="O26" s="9"/>
      <c r="Q26" s="104"/>
    </row>
    <row r="27" spans="2:18">
      <c r="B27" s="64" t="s">
        <v>76</v>
      </c>
      <c r="C27" s="68"/>
      <c r="D27" s="17"/>
      <c r="E27" s="6">
        <f>E23+E24-E25</f>
        <v>-1051.0500000000004</v>
      </c>
      <c r="F27" s="6">
        <f t="shared" ref="F27:I27" si="2">F23+F24-F25</f>
        <v>-560.45999999999913</v>
      </c>
      <c r="G27" s="6">
        <f t="shared" si="2"/>
        <v>-1281.0699999999997</v>
      </c>
      <c r="H27" s="6">
        <f t="shared" si="2"/>
        <v>-2293</v>
      </c>
      <c r="I27" s="6">
        <f t="shared" si="2"/>
        <v>-4811.7999999999993</v>
      </c>
      <c r="J27" s="6">
        <f>J23+J24-J25+J26</f>
        <v>-4842.3899999999994</v>
      </c>
      <c r="K27" s="17">
        <f t="shared" ref="K27:O27" si="3">K23+K24-K25+K26</f>
        <v>-5100.7715983110002</v>
      </c>
      <c r="L27" s="6">
        <f t="shared" si="3"/>
        <v>-6123.0666558281619</v>
      </c>
      <c r="M27" s="6">
        <f t="shared" si="3"/>
        <v>-7276.409299072564</v>
      </c>
      <c r="N27" s="6">
        <f t="shared" si="3"/>
        <v>-8560.1864295235428</v>
      </c>
      <c r="O27" s="7">
        <f t="shared" si="3"/>
        <v>-9971.0421883889521</v>
      </c>
      <c r="Q27" s="104"/>
    </row>
    <row r="28" spans="2:18">
      <c r="B28" s="32"/>
      <c r="C28" s="69"/>
      <c r="D28" s="19"/>
      <c r="E28" s="2"/>
      <c r="F28" s="2"/>
      <c r="G28" s="2"/>
      <c r="H28" s="2"/>
      <c r="I28" s="2"/>
      <c r="J28" s="2"/>
      <c r="K28" s="19"/>
      <c r="O28" s="25"/>
    </row>
    <row r="29" spans="2:18">
      <c r="B29" s="32" t="s">
        <v>86</v>
      </c>
      <c r="C29" s="69"/>
      <c r="D29" s="19"/>
      <c r="E29" s="2">
        <f>D31</f>
        <v>9540.68</v>
      </c>
      <c r="F29" s="2">
        <f t="shared" ref="F29:J29" si="4">E31</f>
        <v>9237.9000000000015</v>
      </c>
      <c r="G29" s="2">
        <f t="shared" si="4"/>
        <v>13457.550000000003</v>
      </c>
      <c r="H29" s="2">
        <f t="shared" si="4"/>
        <v>16322.740000000002</v>
      </c>
      <c r="I29" s="2">
        <f t="shared" si="4"/>
        <v>11583.180000000004</v>
      </c>
      <c r="J29" s="2">
        <f t="shared" si="4"/>
        <v>29111.040000000008</v>
      </c>
      <c r="K29" s="19">
        <f t="shared" ref="K29" si="5">J31</f>
        <v>27514.210000000003</v>
      </c>
      <c r="L29" s="2">
        <f t="shared" ref="L29" si="6">K31</f>
        <v>33848.033741317777</v>
      </c>
      <c r="M29" s="2">
        <f t="shared" ref="M29" si="7">L31</f>
        <v>38307.641106892224</v>
      </c>
      <c r="N29" s="2">
        <f t="shared" ref="N29" si="8">M31</f>
        <v>45862.622729886345</v>
      </c>
      <c r="O29" s="9">
        <f t="shared" ref="O29" si="9">N31</f>
        <v>55941.67279772149</v>
      </c>
    </row>
    <row r="30" spans="2:18">
      <c r="B30" s="65" t="s">
        <v>87</v>
      </c>
      <c r="C30" s="69"/>
      <c r="D30" s="19"/>
      <c r="E30" s="2">
        <f>SUM(E13,E20,E27)</f>
        <v>-302.77999999999975</v>
      </c>
      <c r="F30" s="2">
        <f t="shared" ref="F30:O30" si="10">SUM(F13,F20,F27)</f>
        <v>4219.6500000000015</v>
      </c>
      <c r="G30" s="2">
        <f t="shared" si="10"/>
        <v>2865.1899999999987</v>
      </c>
      <c r="H30" s="2">
        <f t="shared" si="10"/>
        <v>-4739.5599999999977</v>
      </c>
      <c r="I30" s="2">
        <f t="shared" si="10"/>
        <v>17527.860000000004</v>
      </c>
      <c r="J30" s="2">
        <f>SUM(J13,J20,J27)</f>
        <v>-1596.830000000004</v>
      </c>
      <c r="K30" s="19">
        <f t="shared" si="10"/>
        <v>6333.8237413177767</v>
      </c>
      <c r="L30" s="2">
        <f t="shared" si="10"/>
        <v>4459.6073655744503</v>
      </c>
      <c r="M30" s="2">
        <f t="shared" si="10"/>
        <v>7554.9816229941225</v>
      </c>
      <c r="N30" s="2">
        <f t="shared" si="10"/>
        <v>10079.050067835149</v>
      </c>
      <c r="O30" s="9">
        <f t="shared" si="10"/>
        <v>11494.859296260211</v>
      </c>
    </row>
    <row r="31" spans="2:18">
      <c r="B31" s="60" t="s">
        <v>88</v>
      </c>
      <c r="C31" s="70"/>
      <c r="D31" s="17">
        <f>'BALANCE SHEET'!C25</f>
        <v>9540.68</v>
      </c>
      <c r="E31" s="6">
        <f>E29+E30</f>
        <v>9237.9000000000015</v>
      </c>
      <c r="F31" s="6">
        <f t="shared" ref="F31:O31" si="11">F29+F30</f>
        <v>13457.550000000003</v>
      </c>
      <c r="G31" s="6">
        <f t="shared" si="11"/>
        <v>16322.740000000002</v>
      </c>
      <c r="H31" s="6">
        <f t="shared" si="11"/>
        <v>11583.180000000004</v>
      </c>
      <c r="I31" s="6">
        <f t="shared" si="11"/>
        <v>29111.040000000008</v>
      </c>
      <c r="J31" s="6">
        <f t="shared" si="11"/>
        <v>27514.210000000003</v>
      </c>
      <c r="K31" s="17">
        <f t="shared" si="11"/>
        <v>33848.033741317777</v>
      </c>
      <c r="L31" s="6">
        <f t="shared" si="11"/>
        <v>38307.641106892224</v>
      </c>
      <c r="M31" s="6">
        <f t="shared" si="11"/>
        <v>45862.622729886345</v>
      </c>
      <c r="N31" s="6">
        <f t="shared" si="11"/>
        <v>55941.67279772149</v>
      </c>
      <c r="O31" s="7">
        <f t="shared" si="11"/>
        <v>67436.532093981703</v>
      </c>
      <c r="R31" s="2"/>
    </row>
    <row r="32" spans="2:18">
      <c r="B32" s="32"/>
      <c r="C32" s="69"/>
      <c r="D32" s="19"/>
      <c r="E32" s="2"/>
      <c r="F32" s="2"/>
      <c r="G32" s="2"/>
      <c r="H32" s="2"/>
      <c r="I32" s="2"/>
      <c r="J32" s="2"/>
      <c r="K32" s="19"/>
      <c r="O32" s="25"/>
    </row>
    <row r="33" spans="2:18" s="2" customFormat="1">
      <c r="B33" s="243" t="s">
        <v>89</v>
      </c>
      <c r="C33" s="244"/>
      <c r="D33" s="245">
        <f>D31-'BALANCE SHEET'!C25</f>
        <v>0</v>
      </c>
      <c r="E33" s="246">
        <f>E31-'BALANCE SHEET'!D25</f>
        <v>0</v>
      </c>
      <c r="F33" s="246">
        <f>F31-'BALANCE SHEET'!E25</f>
        <v>0</v>
      </c>
      <c r="G33" s="246">
        <f>G31-'BALANCE SHEET'!F25</f>
        <v>0</v>
      </c>
      <c r="H33" s="246">
        <f>H31-'BALANCE SHEET'!G25</f>
        <v>0</v>
      </c>
      <c r="I33" s="246">
        <f>I31-'BALANCE SHEET'!H25</f>
        <v>0</v>
      </c>
      <c r="J33" s="246">
        <f>J31-'BALANCE SHEET'!I25</f>
        <v>0</v>
      </c>
      <c r="K33" s="246">
        <f>K31-'BALANCE SHEET'!J25</f>
        <v>0</v>
      </c>
      <c r="L33" s="246">
        <f>L31-'BALANCE SHEET'!K25</f>
        <v>0</v>
      </c>
      <c r="M33" s="246">
        <f>M31-'BALANCE SHEET'!L25</f>
        <v>0</v>
      </c>
      <c r="N33" s="246">
        <f>N31-'BALANCE SHEET'!M25</f>
        <v>0</v>
      </c>
      <c r="O33" s="247">
        <f>O31-'BALANCE SHEET'!N25</f>
        <v>0</v>
      </c>
      <c r="P33" s="59"/>
      <c r="Q33" s="105"/>
      <c r="R33"/>
    </row>
    <row r="34" spans="2:18">
      <c r="D34" s="2"/>
      <c r="E34" s="2"/>
      <c r="F34" s="2"/>
      <c r="G34" s="2"/>
      <c r="H34" s="2"/>
      <c r="I34" s="2"/>
      <c r="J34" s="2"/>
      <c r="K34" s="2"/>
    </row>
    <row r="35" spans="2:18">
      <c r="D35" s="2"/>
      <c r="E35" s="2"/>
      <c r="F35" s="2"/>
      <c r="G35" s="2"/>
      <c r="H35" s="2"/>
      <c r="I35" s="2"/>
      <c r="J35" s="2"/>
      <c r="K35" s="2"/>
    </row>
  </sheetData>
  <mergeCells count="1">
    <mergeCell ref="B2:C3"/>
  </mergeCells>
  <hyperlinks>
    <hyperlink ref="Q25" location="'FORCAST SCHEDULES'!A1" display="Values from Forcast Schedules" xr:uid="{5CA7BEB8-BE04-4B89-A545-91BC66421D7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E7E1-7495-4AA5-BEF8-794ACF1B93CF}">
  <dimension ref="B2:Q32"/>
  <sheetViews>
    <sheetView showGridLines="0" workbookViewId="0">
      <selection activeCell="D39" sqref="D39"/>
    </sheetView>
  </sheetViews>
  <sheetFormatPr defaultRowHeight="14.4" outlineLevelRow="1"/>
  <cols>
    <col min="1" max="1" width="4.109375" customWidth="1"/>
    <col min="2" max="2" width="34.44140625" bestFit="1" customWidth="1"/>
    <col min="3" max="3" width="10.44140625" bestFit="1" customWidth="1"/>
    <col min="4" max="5" width="10.44140625" customWidth="1"/>
    <col min="6" max="11" width="10.44140625" bestFit="1" customWidth="1"/>
    <col min="12" max="14" width="12" bestFit="1" customWidth="1"/>
    <col min="15" max="15" width="11" customWidth="1"/>
    <col min="16" max="16" width="26.109375" style="105" bestFit="1" customWidth="1"/>
    <col min="17" max="17" width="30.21875" bestFit="1" customWidth="1"/>
  </cols>
  <sheetData>
    <row r="2" spans="2:17">
      <c r="B2" s="274" t="s">
        <v>18</v>
      </c>
      <c r="C2" s="234" t="s">
        <v>96</v>
      </c>
      <c r="D2" s="233" t="s">
        <v>96</v>
      </c>
      <c r="E2" s="233" t="s">
        <v>96</v>
      </c>
      <c r="F2" s="233" t="s">
        <v>96</v>
      </c>
      <c r="G2" s="233" t="s">
        <v>96</v>
      </c>
      <c r="H2" s="233" t="s">
        <v>96</v>
      </c>
      <c r="I2" s="235" t="s">
        <v>96</v>
      </c>
      <c r="J2" s="248" t="s">
        <v>97</v>
      </c>
      <c r="K2" s="157" t="s">
        <v>97</v>
      </c>
      <c r="L2" s="157" t="s">
        <v>97</v>
      </c>
      <c r="M2" s="157" t="s">
        <v>97</v>
      </c>
      <c r="N2" s="158" t="s">
        <v>97</v>
      </c>
      <c r="O2" s="101"/>
      <c r="P2" s="124" t="s">
        <v>103</v>
      </c>
      <c r="Q2" s="90" t="s">
        <v>106</v>
      </c>
    </row>
    <row r="3" spans="2:17">
      <c r="B3" s="275"/>
      <c r="C3" s="86">
        <v>2019</v>
      </c>
      <c r="D3" s="87">
        <v>2020</v>
      </c>
      <c r="E3" s="87">
        <v>2021</v>
      </c>
      <c r="F3" s="87">
        <v>2022</v>
      </c>
      <c r="G3" s="87">
        <v>2023</v>
      </c>
      <c r="H3" s="87">
        <v>2024</v>
      </c>
      <c r="I3" s="88">
        <v>2025</v>
      </c>
      <c r="J3" s="86">
        <v>2026</v>
      </c>
      <c r="K3" s="87">
        <v>2027</v>
      </c>
      <c r="L3" s="87">
        <v>2028</v>
      </c>
      <c r="M3" s="87">
        <v>2029</v>
      </c>
      <c r="N3" s="88">
        <v>2030</v>
      </c>
      <c r="O3" s="102"/>
      <c r="P3" s="104"/>
      <c r="Q3" s="91"/>
    </row>
    <row r="4" spans="2:17" outlineLevel="1">
      <c r="B4" s="48" t="s">
        <v>53</v>
      </c>
      <c r="C4" s="19">
        <v>49.5</v>
      </c>
      <c r="D4" s="2">
        <v>49.5</v>
      </c>
      <c r="E4" s="2">
        <v>49.5</v>
      </c>
      <c r="F4" s="2">
        <v>49.5</v>
      </c>
      <c r="G4" s="2">
        <v>49.5</v>
      </c>
      <c r="H4" s="2">
        <v>49.5</v>
      </c>
      <c r="I4" s="9">
        <f>49.5</f>
        <v>49.5</v>
      </c>
      <c r="J4" s="125">
        <f>$P$4</f>
        <v>247.5</v>
      </c>
      <c r="K4" s="106">
        <f>$P$4</f>
        <v>247.5</v>
      </c>
      <c r="L4" s="106">
        <f>$P$4</f>
        <v>247.5</v>
      </c>
      <c r="M4" s="106">
        <f>$P$4</f>
        <v>247.5</v>
      </c>
      <c r="N4" s="111">
        <f>$P$4</f>
        <v>247.5</v>
      </c>
      <c r="P4" s="104">
        <v>247.5</v>
      </c>
      <c r="Q4" s="75" t="s">
        <v>107</v>
      </c>
    </row>
    <row r="5" spans="2:17" outlineLevel="1">
      <c r="B5" s="107" t="s">
        <v>144</v>
      </c>
      <c r="C5" s="19">
        <v>0</v>
      </c>
      <c r="D5" s="2">
        <v>0</v>
      </c>
      <c r="E5" s="2">
        <v>0</v>
      </c>
      <c r="F5" s="2">
        <v>0</v>
      </c>
      <c r="G5" s="2">
        <v>0</v>
      </c>
      <c r="H5" s="2">
        <v>0</v>
      </c>
      <c r="I5" s="9">
        <v>198</v>
      </c>
      <c r="J5" s="126">
        <v>0</v>
      </c>
      <c r="K5" s="105">
        <v>0</v>
      </c>
      <c r="L5" s="105">
        <v>0</v>
      </c>
      <c r="M5" s="105">
        <v>0</v>
      </c>
      <c r="N5" s="104">
        <v>0</v>
      </c>
      <c r="P5" s="104"/>
      <c r="Q5" s="75" t="s">
        <v>107</v>
      </c>
    </row>
    <row r="6" spans="2:17" outlineLevel="1">
      <c r="B6" s="49" t="s">
        <v>36</v>
      </c>
      <c r="C6" s="20">
        <v>7738.76</v>
      </c>
      <c r="D6" s="5">
        <v>8572.49</v>
      </c>
      <c r="E6" s="5">
        <v>11586.45</v>
      </c>
      <c r="F6" s="5">
        <v>15368.78</v>
      </c>
      <c r="G6" s="5">
        <v>20430.88</v>
      </c>
      <c r="H6" s="5">
        <v>23924.38</v>
      </c>
      <c r="I6" s="10">
        <f>30105.83</f>
        <v>30105.83</v>
      </c>
      <c r="J6" s="126">
        <f>'FORCAST SCHEDULES'!J17</f>
        <v>38428.141555139002</v>
      </c>
      <c r="K6" s="105">
        <f>'FORCAST SCHEDULES'!K17</f>
        <v>48418.408204121799</v>
      </c>
      <c r="L6" s="105">
        <f>'FORCAST SCHEDULES'!L17</f>
        <v>60290.444428924398</v>
      </c>
      <c r="M6" s="105">
        <f>'FORCAST SCHEDULES'!M17</f>
        <v>74257.064392883854</v>
      </c>
      <c r="N6" s="104">
        <f>'FORCAST SCHEDULES'!N17</f>
        <v>90525.606910781629</v>
      </c>
      <c r="P6" s="108" t="s">
        <v>140</v>
      </c>
    </row>
    <row r="7" spans="2:17" outlineLevel="1">
      <c r="B7" s="50" t="s">
        <v>37</v>
      </c>
      <c r="C7" s="19">
        <f>SUM(C4:C6)</f>
        <v>7788.26</v>
      </c>
      <c r="D7" s="2">
        <f t="shared" ref="D7:N7" si="0">SUM(D4:D6)</f>
        <v>8621.99</v>
      </c>
      <c r="E7" s="2">
        <f t="shared" si="0"/>
        <v>11635.95</v>
      </c>
      <c r="F7" s="2">
        <f t="shared" si="0"/>
        <v>15418.28</v>
      </c>
      <c r="G7" s="2">
        <f t="shared" si="0"/>
        <v>20480.38</v>
      </c>
      <c r="H7" s="2">
        <f t="shared" si="0"/>
        <v>23973.88</v>
      </c>
      <c r="I7" s="9">
        <f t="shared" si="0"/>
        <v>30353.33</v>
      </c>
      <c r="J7" s="19">
        <f t="shared" si="0"/>
        <v>38675.641555139002</v>
      </c>
      <c r="K7" s="2">
        <f t="shared" si="0"/>
        <v>48665.908204121799</v>
      </c>
      <c r="L7" s="2">
        <f t="shared" si="0"/>
        <v>60537.944428924398</v>
      </c>
      <c r="M7" s="2">
        <f t="shared" si="0"/>
        <v>74504.564392883854</v>
      </c>
      <c r="N7" s="9">
        <f t="shared" si="0"/>
        <v>90773.106910781629</v>
      </c>
      <c r="P7" s="104"/>
    </row>
    <row r="8" spans="2:17" outlineLevel="1">
      <c r="B8" s="51"/>
      <c r="C8" s="20"/>
      <c r="D8" s="5"/>
      <c r="E8" s="5"/>
      <c r="F8" s="5"/>
      <c r="G8" s="5"/>
      <c r="H8" s="5"/>
      <c r="I8" s="10"/>
      <c r="J8" s="34"/>
      <c r="N8" s="25"/>
      <c r="P8" s="104"/>
    </row>
    <row r="9" spans="2:17" outlineLevel="1">
      <c r="B9" s="49" t="s">
        <v>38</v>
      </c>
      <c r="C9" s="19">
        <v>189.55</v>
      </c>
      <c r="D9" s="2">
        <v>263.08999999999997</v>
      </c>
      <c r="E9" s="2">
        <v>242.82</v>
      </c>
      <c r="F9" s="2">
        <v>469.61</v>
      </c>
      <c r="G9" s="2">
        <v>414.47</v>
      </c>
      <c r="H9" s="2">
        <v>552.36</v>
      </c>
      <c r="I9" s="9">
        <v>847.03</v>
      </c>
      <c r="J9" s="126">
        <f>'FORCAST SCHEDULES'!J29</f>
        <v>1031.0647617377656</v>
      </c>
      <c r="K9" s="105">
        <f>'FORCAST SCHEDULES'!K29</f>
        <v>1397.0658993301645</v>
      </c>
      <c r="L9" s="105">
        <f>'FORCAST SCHEDULES'!L29</f>
        <v>1903.4805752781504</v>
      </c>
      <c r="M9" s="105">
        <f>'FORCAST SCHEDULES'!M29</f>
        <v>2493.2452571169911</v>
      </c>
      <c r="N9" s="104">
        <f>'FORCAST SCHEDULES'!N29</f>
        <v>3346.5040423605005</v>
      </c>
      <c r="P9" s="108" t="s">
        <v>140</v>
      </c>
      <c r="Q9" s="75"/>
    </row>
    <row r="10" spans="2:17" outlineLevel="1">
      <c r="B10" s="138" t="s">
        <v>39</v>
      </c>
      <c r="C10" s="17">
        <f t="shared" ref="C10:I10" si="1">SUM(C9:C9)</f>
        <v>189.55</v>
      </c>
      <c r="D10" s="6">
        <f t="shared" si="1"/>
        <v>263.08999999999997</v>
      </c>
      <c r="E10" s="6">
        <f t="shared" si="1"/>
        <v>242.82</v>
      </c>
      <c r="F10" s="6">
        <f t="shared" si="1"/>
        <v>469.61</v>
      </c>
      <c r="G10" s="6">
        <f t="shared" si="1"/>
        <v>414.47</v>
      </c>
      <c r="H10" s="6">
        <f t="shared" si="1"/>
        <v>552.36</v>
      </c>
      <c r="I10" s="7">
        <f t="shared" si="1"/>
        <v>847.03</v>
      </c>
      <c r="J10" s="17">
        <f t="shared" ref="J10:N10" si="2">SUM(J9:J9)</f>
        <v>1031.0647617377656</v>
      </c>
      <c r="K10" s="6">
        <f t="shared" si="2"/>
        <v>1397.0658993301645</v>
      </c>
      <c r="L10" s="6">
        <f t="shared" si="2"/>
        <v>1903.4805752781504</v>
      </c>
      <c r="M10" s="6">
        <f t="shared" si="2"/>
        <v>2493.2452571169911</v>
      </c>
      <c r="N10" s="7">
        <f t="shared" si="2"/>
        <v>3346.5040423605005</v>
      </c>
      <c r="P10" s="104"/>
    </row>
    <row r="11" spans="2:17" outlineLevel="1">
      <c r="B11" s="51"/>
      <c r="C11" s="19"/>
      <c r="D11" s="2"/>
      <c r="E11" s="2"/>
      <c r="F11" s="2"/>
      <c r="G11" s="2"/>
      <c r="H11" s="2"/>
      <c r="I11" s="9"/>
      <c r="J11" s="34"/>
      <c r="N11" s="25"/>
      <c r="P11" s="104"/>
    </row>
    <row r="12" spans="2:17" outlineLevel="1">
      <c r="B12" s="49" t="s">
        <v>40</v>
      </c>
      <c r="C12" s="20">
        <v>8942.89</v>
      </c>
      <c r="D12" s="5">
        <v>11858.48</v>
      </c>
      <c r="E12" s="5">
        <v>13533.94</v>
      </c>
      <c r="F12" s="5">
        <v>15463.88</v>
      </c>
      <c r="G12" s="5">
        <v>10385.69</v>
      </c>
      <c r="H12" s="5">
        <v>32027.31</v>
      </c>
      <c r="I12" s="10">
        <v>26190.77</v>
      </c>
      <c r="J12" s="126">
        <f>'FORCAST SCHEDULES'!J35</f>
        <v>26256.78577271329</v>
      </c>
      <c r="K12" s="105">
        <f>'FORCAST SCHEDULES'!K35</f>
        <v>26504.99385145136</v>
      </c>
      <c r="L12" s="105">
        <f>'FORCAST SCHEDULES'!L35</f>
        <v>26793.578547567799</v>
      </c>
      <c r="M12" s="105">
        <f>'FORCAST SCHEDULES'!M35</f>
        <v>27222.171211102454</v>
      </c>
      <c r="N12" s="104">
        <f>'FORCAST SCHEDULES'!N35</f>
        <v>27731.371486595886</v>
      </c>
      <c r="P12" s="108" t="s">
        <v>140</v>
      </c>
    </row>
    <row r="13" spans="2:17" outlineLevel="1">
      <c r="B13" s="139" t="s">
        <v>41</v>
      </c>
      <c r="C13" s="140">
        <f t="shared" ref="C13:I13" si="3">SUM(C12:C12)</f>
        <v>8942.89</v>
      </c>
      <c r="D13" s="141">
        <f t="shared" si="3"/>
        <v>11858.48</v>
      </c>
      <c r="E13" s="141">
        <f t="shared" si="3"/>
        <v>13533.94</v>
      </c>
      <c r="F13" s="141">
        <f t="shared" si="3"/>
        <v>15463.88</v>
      </c>
      <c r="G13" s="141">
        <f t="shared" si="3"/>
        <v>10385.69</v>
      </c>
      <c r="H13" s="141">
        <f t="shared" si="3"/>
        <v>32027.31</v>
      </c>
      <c r="I13" s="200">
        <f t="shared" si="3"/>
        <v>26190.77</v>
      </c>
      <c r="J13" s="140">
        <f t="shared" ref="J13:N13" si="4">SUM(J12:J12)</f>
        <v>26256.78577271329</v>
      </c>
      <c r="K13" s="141">
        <f t="shared" si="4"/>
        <v>26504.99385145136</v>
      </c>
      <c r="L13" s="141">
        <f t="shared" si="4"/>
        <v>26793.578547567799</v>
      </c>
      <c r="M13" s="141">
        <f t="shared" si="4"/>
        <v>27222.171211102454</v>
      </c>
      <c r="N13" s="200">
        <f t="shared" si="4"/>
        <v>27731.371486595886</v>
      </c>
      <c r="P13" s="104"/>
    </row>
    <row r="14" spans="2:17" outlineLevel="1">
      <c r="B14" s="133" t="s">
        <v>173</v>
      </c>
      <c r="C14" s="17">
        <f>C10+C13</f>
        <v>9132.4399999999987</v>
      </c>
      <c r="D14" s="6">
        <f t="shared" ref="D14:N14" si="5">D10+D13</f>
        <v>12121.57</v>
      </c>
      <c r="E14" s="6">
        <f t="shared" si="5"/>
        <v>13776.76</v>
      </c>
      <c r="F14" s="6">
        <f t="shared" si="5"/>
        <v>15933.49</v>
      </c>
      <c r="G14" s="6">
        <f t="shared" si="5"/>
        <v>10800.16</v>
      </c>
      <c r="H14" s="6">
        <f t="shared" si="5"/>
        <v>32579.670000000002</v>
      </c>
      <c r="I14" s="7">
        <f t="shared" si="5"/>
        <v>27037.8</v>
      </c>
      <c r="J14" s="17">
        <f t="shared" si="5"/>
        <v>27287.850534451056</v>
      </c>
      <c r="K14" s="6">
        <f t="shared" si="5"/>
        <v>27902.059750781526</v>
      </c>
      <c r="L14" s="6">
        <f t="shared" si="5"/>
        <v>28697.059122845949</v>
      </c>
      <c r="M14" s="6">
        <f t="shared" si="5"/>
        <v>29715.416468219446</v>
      </c>
      <c r="N14" s="7">
        <f t="shared" si="5"/>
        <v>31077.875528956385</v>
      </c>
      <c r="P14" s="104"/>
    </row>
    <row r="15" spans="2:17" outlineLevel="1">
      <c r="B15" s="50"/>
      <c r="C15" s="19"/>
      <c r="D15" s="2"/>
      <c r="E15" s="2"/>
      <c r="F15" s="2"/>
      <c r="G15" s="2"/>
      <c r="H15" s="2"/>
      <c r="I15" s="9"/>
      <c r="J15" s="19"/>
      <c r="K15" s="2"/>
      <c r="L15" s="2"/>
      <c r="M15" s="2"/>
      <c r="N15" s="9"/>
      <c r="P15" s="104"/>
    </row>
    <row r="16" spans="2:17" outlineLevel="1">
      <c r="B16" s="51" t="s">
        <v>42</v>
      </c>
      <c r="C16" s="20">
        <v>3057.68</v>
      </c>
      <c r="D16" s="5">
        <v>3426.77</v>
      </c>
      <c r="E16" s="5">
        <v>3792.93</v>
      </c>
      <c r="F16" s="5">
        <v>4255.2299999999996</v>
      </c>
      <c r="G16" s="5">
        <v>5283.8</v>
      </c>
      <c r="H16" s="5">
        <v>8910.4500000000007</v>
      </c>
      <c r="I16" s="10">
        <v>12075.51</v>
      </c>
      <c r="J16" s="126">
        <f>'FORCAST SCHEDULES'!J42</f>
        <v>11000.15630463072</v>
      </c>
      <c r="K16" s="105">
        <f>'FORCAST SCHEDULES'!K42</f>
        <v>10446.797387344322</v>
      </c>
      <c r="L16" s="105">
        <f>'FORCAST SCHEDULES'!L42</f>
        <v>11709.748109809307</v>
      </c>
      <c r="M16" s="105">
        <f>'FORCAST SCHEDULES'!M42</f>
        <v>11743.25567204857</v>
      </c>
      <c r="N16" s="104">
        <f>'FORCAST SCHEDULES'!N42</f>
        <v>12199.590983111091</v>
      </c>
      <c r="P16" s="108" t="s">
        <v>140</v>
      </c>
    </row>
    <row r="17" spans="2:17" outlineLevel="1">
      <c r="B17" s="51"/>
      <c r="C17" s="19"/>
      <c r="D17" s="2"/>
      <c r="E17" s="2"/>
      <c r="F17" s="2"/>
      <c r="G17" s="2"/>
      <c r="H17" s="2"/>
      <c r="I17" s="9"/>
      <c r="J17" s="34"/>
      <c r="N17" s="25"/>
      <c r="P17" s="104"/>
    </row>
    <row r="18" spans="2:17">
      <c r="B18" s="50" t="s">
        <v>43</v>
      </c>
      <c r="C18" s="20">
        <f>SUM(C7,C14,C16)</f>
        <v>19978.379999999997</v>
      </c>
      <c r="D18" s="5">
        <f t="shared" ref="D18:N18" si="6">SUM(D7,D14,D16)</f>
        <v>24170.329999999998</v>
      </c>
      <c r="E18" s="5">
        <f t="shared" si="6"/>
        <v>29205.64</v>
      </c>
      <c r="F18" s="5">
        <f t="shared" si="6"/>
        <v>35607</v>
      </c>
      <c r="G18" s="5">
        <f t="shared" si="6"/>
        <v>36564.340000000004</v>
      </c>
      <c r="H18" s="5">
        <f t="shared" si="6"/>
        <v>65464</v>
      </c>
      <c r="I18" s="10">
        <f t="shared" si="6"/>
        <v>69466.64</v>
      </c>
      <c r="J18" s="20">
        <f t="shared" si="6"/>
        <v>76963.648394220771</v>
      </c>
      <c r="K18" s="5">
        <f t="shared" si="6"/>
        <v>87014.765342247643</v>
      </c>
      <c r="L18" s="5">
        <f t="shared" si="6"/>
        <v>100944.75166157966</v>
      </c>
      <c r="M18" s="5">
        <f t="shared" si="6"/>
        <v>115963.23653315188</v>
      </c>
      <c r="N18" s="10">
        <f t="shared" si="6"/>
        <v>134050.57342284912</v>
      </c>
      <c r="P18" s="108" t="s">
        <v>140</v>
      </c>
    </row>
    <row r="19" spans="2:17">
      <c r="B19" s="52"/>
      <c r="C19" s="20"/>
      <c r="D19" s="5"/>
      <c r="E19" s="5"/>
      <c r="F19" s="5"/>
      <c r="G19" s="5"/>
      <c r="H19" s="5"/>
      <c r="I19" s="10"/>
      <c r="J19" s="34"/>
      <c r="N19" s="25"/>
    </row>
    <row r="20" spans="2:17" outlineLevel="1">
      <c r="B20" s="49" t="s">
        <v>44</v>
      </c>
      <c r="C20" s="19">
        <v>645.75</v>
      </c>
      <c r="D20" s="2">
        <v>631.80999999999995</v>
      </c>
      <c r="E20" s="2">
        <v>795.82</v>
      </c>
      <c r="F20" s="2">
        <v>1144.18</v>
      </c>
      <c r="G20" s="2">
        <v>1060.7</v>
      </c>
      <c r="H20" s="2">
        <v>1098.6400000000001</v>
      </c>
      <c r="I20" s="9">
        <v>1655.13</v>
      </c>
      <c r="J20" s="126">
        <f>'FORCAST SCHEDULES'!J9</f>
        <v>2078.7680235999997</v>
      </c>
      <c r="K20" s="105">
        <f>'FORCAST SCHEDULES'!K9</f>
        <v>2551.7225295139997</v>
      </c>
      <c r="L20" s="105">
        <f>'FORCAST SCHEDULES'!L9</f>
        <v>3077.2126801427398</v>
      </c>
      <c r="M20" s="105">
        <f>'FORCAST SCHEDULES'!M9</f>
        <v>3654.9382476497749</v>
      </c>
      <c r="N20" s="104">
        <f>'FORCAST SCHEDULES'!N9</f>
        <v>4280.9952406726097</v>
      </c>
      <c r="P20" s="108" t="s">
        <v>140</v>
      </c>
    </row>
    <row r="21" spans="2:17" outlineLevel="1">
      <c r="B21" s="49" t="s">
        <v>45</v>
      </c>
      <c r="C21" s="19">
        <v>5958.6</v>
      </c>
      <c r="D21" s="2">
        <v>5372.7</v>
      </c>
      <c r="E21" s="2">
        <v>7984.79</v>
      </c>
      <c r="F21" s="2">
        <v>8074.19</v>
      </c>
      <c r="G21" s="2">
        <v>12538.66</v>
      </c>
      <c r="H21" s="2">
        <v>20970.169999999998</v>
      </c>
      <c r="I21" s="9">
        <v>20588.79</v>
      </c>
      <c r="J21" s="126">
        <f>'FORCAST SCHEDULES'!J49</f>
        <v>20744.77624815992</v>
      </c>
      <c r="K21" s="105">
        <f>'FORCAST SCHEDULES'!K49</f>
        <v>21185.797817856259</v>
      </c>
      <c r="L21" s="105">
        <f>'FORCAST SCHEDULES'!L49</f>
        <v>21577.519817820055</v>
      </c>
      <c r="M21" s="105">
        <f>'FORCAST SCHEDULES'!M49</f>
        <v>21997.037238482833</v>
      </c>
      <c r="N21" s="104">
        <f>'FORCAST SCHEDULES'!N49</f>
        <v>22447.261947675252</v>
      </c>
      <c r="P21" s="108" t="s">
        <v>140</v>
      </c>
    </row>
    <row r="22" spans="2:17" outlineLevel="1">
      <c r="B22" s="137" t="s">
        <v>46</v>
      </c>
      <c r="C22" s="17">
        <f>SUM(C20:C21)</f>
        <v>6604.35</v>
      </c>
      <c r="D22" s="6">
        <f t="shared" ref="D22:N22" si="7">SUM(D20:D21)</f>
        <v>6004.51</v>
      </c>
      <c r="E22" s="6">
        <f t="shared" si="7"/>
        <v>8780.61</v>
      </c>
      <c r="F22" s="6">
        <f t="shared" si="7"/>
        <v>9218.369999999999</v>
      </c>
      <c r="G22" s="6">
        <f t="shared" si="7"/>
        <v>13599.36</v>
      </c>
      <c r="H22" s="6">
        <f t="shared" si="7"/>
        <v>22068.809999999998</v>
      </c>
      <c r="I22" s="7">
        <f t="shared" si="7"/>
        <v>22243.920000000002</v>
      </c>
      <c r="J22" s="17">
        <f t="shared" si="7"/>
        <v>22823.544271759922</v>
      </c>
      <c r="K22" s="6">
        <f t="shared" si="7"/>
        <v>23737.520347370257</v>
      </c>
      <c r="L22" s="6">
        <f t="shared" si="7"/>
        <v>24654.732497962796</v>
      </c>
      <c r="M22" s="6">
        <f t="shared" si="7"/>
        <v>25651.975486132607</v>
      </c>
      <c r="N22" s="7">
        <f t="shared" si="7"/>
        <v>26728.257188347859</v>
      </c>
    </row>
    <row r="23" spans="2:17" outlineLevel="1">
      <c r="B23" s="50"/>
      <c r="C23" s="19"/>
      <c r="D23" s="2"/>
      <c r="E23" s="2"/>
      <c r="F23" s="2"/>
      <c r="G23" s="2"/>
      <c r="H23" s="2"/>
      <c r="I23" s="9"/>
      <c r="J23" s="34"/>
      <c r="N23" s="25"/>
    </row>
    <row r="24" spans="2:17" outlineLevel="1">
      <c r="B24" s="49" t="s">
        <v>47</v>
      </c>
      <c r="C24" s="20">
        <v>452.51</v>
      </c>
      <c r="D24" s="5">
        <v>652.11</v>
      </c>
      <c r="E24" s="5">
        <v>998.58</v>
      </c>
      <c r="F24" s="5">
        <v>1614.95</v>
      </c>
      <c r="G24" s="5">
        <v>1589.21</v>
      </c>
      <c r="H24" s="5">
        <v>1864.66</v>
      </c>
      <c r="I24" s="10">
        <v>1512.21</v>
      </c>
      <c r="J24" s="126">
        <f>'FORCAST SCHEDULES'!J56</f>
        <v>2386.5907397260276</v>
      </c>
      <c r="K24" s="105">
        <f>'FORCAST SCHEDULES'!K56</f>
        <v>2716.1675561643842</v>
      </c>
      <c r="L24" s="105">
        <f>'FORCAST SCHEDULES'!L56</f>
        <v>3044.8238304602742</v>
      </c>
      <c r="M24" s="105">
        <f>'FORCAST SCHEDULES'!M56</f>
        <v>3733.9155394591785</v>
      </c>
      <c r="N24" s="104">
        <f>'FORCAST SCHEDULES'!N56</f>
        <v>4186.6527986186029</v>
      </c>
      <c r="P24" s="108" t="s">
        <v>140</v>
      </c>
    </row>
    <row r="25" spans="2:17" outlineLevel="1">
      <c r="B25" s="49" t="s">
        <v>48</v>
      </c>
      <c r="C25" s="20">
        <v>9540.68</v>
      </c>
      <c r="D25" s="5">
        <v>9237.9</v>
      </c>
      <c r="E25" s="5">
        <v>13457.55</v>
      </c>
      <c r="F25" s="5">
        <v>16322.74</v>
      </c>
      <c r="G25" s="5">
        <v>11583.18</v>
      </c>
      <c r="H25" s="5">
        <v>29111.040000000001</v>
      </c>
      <c r="I25" s="10">
        <v>27514.21</v>
      </c>
      <c r="J25" s="126">
        <f>'CASH FLOW'!K31</f>
        <v>33848.033741317777</v>
      </c>
      <c r="K25" s="105">
        <f>'CASH FLOW'!L31</f>
        <v>38307.641106892224</v>
      </c>
      <c r="L25" s="105">
        <f>'CASH FLOW'!M31</f>
        <v>45862.622729886345</v>
      </c>
      <c r="M25" s="105">
        <f>'CASH FLOW'!N31</f>
        <v>55941.67279772149</v>
      </c>
      <c r="N25" s="104">
        <f>'CASH FLOW'!O31</f>
        <v>67436.532093981703</v>
      </c>
      <c r="P25" s="108" t="s">
        <v>140</v>
      </c>
    </row>
    <row r="26" spans="2:17" outlineLevel="1">
      <c r="B26" s="49" t="s">
        <v>49</v>
      </c>
      <c r="C26" s="19">
        <v>3380.84</v>
      </c>
      <c r="D26" s="2">
        <v>7835.81</v>
      </c>
      <c r="E26" s="2">
        <v>5968.9</v>
      </c>
      <c r="F26" s="2">
        <v>8450.94</v>
      </c>
      <c r="G26" s="2">
        <v>9006.3799999999992</v>
      </c>
      <c r="H26" s="2">
        <v>11566.99</v>
      </c>
      <c r="I26" s="9">
        <f>17957.9</f>
        <v>17957.900000000001</v>
      </c>
      <c r="J26" s="126">
        <f>'FORCAST SCHEDULES'!J64</f>
        <v>17905.479641417052</v>
      </c>
      <c r="K26" s="105">
        <f>'FORCAST SCHEDULES'!K64</f>
        <v>22253.436331820769</v>
      </c>
      <c r="L26" s="105">
        <f>'FORCAST SCHEDULES'!L64</f>
        <v>27382.572603270237</v>
      </c>
      <c r="M26" s="105">
        <f>'FORCAST SCHEDULES'!M64</f>
        <v>30635.672709838593</v>
      </c>
      <c r="N26" s="104">
        <f>'FORCAST SCHEDULES'!N64</f>
        <v>35699.131341900931</v>
      </c>
      <c r="P26" s="108" t="s">
        <v>140</v>
      </c>
    </row>
    <row r="27" spans="2:17" outlineLevel="1">
      <c r="B27" s="136" t="s">
        <v>50</v>
      </c>
      <c r="C27" s="134">
        <f>SUM(C24:C26)</f>
        <v>13374.03</v>
      </c>
      <c r="D27" s="135">
        <f t="shared" ref="D27:N27" si="8">SUM(D24:D26)</f>
        <v>17725.82</v>
      </c>
      <c r="E27" s="135">
        <f t="shared" si="8"/>
        <v>20425.03</v>
      </c>
      <c r="F27" s="135">
        <f t="shared" si="8"/>
        <v>26388.629999999997</v>
      </c>
      <c r="G27" s="135">
        <f t="shared" si="8"/>
        <v>22178.769999999997</v>
      </c>
      <c r="H27" s="135">
        <f t="shared" si="8"/>
        <v>42542.69</v>
      </c>
      <c r="I27" s="201">
        <f t="shared" si="8"/>
        <v>46984.32</v>
      </c>
      <c r="J27" s="134">
        <f t="shared" si="8"/>
        <v>54140.104122460863</v>
      </c>
      <c r="K27" s="135">
        <f t="shared" si="8"/>
        <v>63277.244994877379</v>
      </c>
      <c r="L27" s="135">
        <f t="shared" si="8"/>
        <v>76290.019163616846</v>
      </c>
      <c r="M27" s="135">
        <f t="shared" si="8"/>
        <v>90311.261047019259</v>
      </c>
      <c r="N27" s="201">
        <f t="shared" si="8"/>
        <v>107322.31623450122</v>
      </c>
    </row>
    <row r="28" spans="2:17" outlineLevel="1">
      <c r="B28" s="51"/>
      <c r="C28" s="20"/>
      <c r="D28" s="5"/>
      <c r="E28" s="5"/>
      <c r="F28" s="5"/>
      <c r="G28" s="5"/>
      <c r="H28" s="5"/>
      <c r="I28" s="10"/>
      <c r="J28" s="34"/>
      <c r="N28" s="25"/>
    </row>
    <row r="29" spans="2:17" outlineLevel="1">
      <c r="B29" s="53" t="s">
        <v>51</v>
      </c>
      <c r="C29" s="20">
        <v>0</v>
      </c>
      <c r="D29" s="5">
        <v>440</v>
      </c>
      <c r="E29" s="5">
        <v>0</v>
      </c>
      <c r="F29" s="5">
        <v>0</v>
      </c>
      <c r="G29" s="5">
        <v>786.21</v>
      </c>
      <c r="H29" s="5">
        <v>852.5</v>
      </c>
      <c r="I29" s="10">
        <v>238.4</v>
      </c>
      <c r="J29" s="20">
        <v>0</v>
      </c>
      <c r="K29" s="5">
        <v>0</v>
      </c>
      <c r="L29" s="5">
        <v>0</v>
      </c>
      <c r="M29" s="5">
        <v>0</v>
      </c>
      <c r="N29" s="10">
        <v>0</v>
      </c>
      <c r="P29" s="105">
        <v>0</v>
      </c>
      <c r="Q29" s="75" t="s">
        <v>107</v>
      </c>
    </row>
    <row r="30" spans="2:17" outlineLevel="1">
      <c r="B30" s="50"/>
      <c r="C30" s="19"/>
      <c r="D30" s="2"/>
      <c r="E30" s="2"/>
      <c r="F30" s="2"/>
      <c r="G30" s="2"/>
      <c r="H30" s="2"/>
      <c r="I30" s="9"/>
      <c r="J30" s="34"/>
      <c r="N30" s="25"/>
      <c r="P30" s="108" t="s">
        <v>140</v>
      </c>
    </row>
    <row r="31" spans="2:17">
      <c r="B31" s="133" t="s">
        <v>52</v>
      </c>
      <c r="C31" s="134">
        <f>SUM(C29,C27,C22)</f>
        <v>19978.38</v>
      </c>
      <c r="D31" s="135">
        <f t="shared" ref="D31:N31" si="9">SUM(D29,D27,D22)</f>
        <v>24170.33</v>
      </c>
      <c r="E31" s="135">
        <f t="shared" si="9"/>
        <v>29205.64</v>
      </c>
      <c r="F31" s="135">
        <f t="shared" si="9"/>
        <v>35607</v>
      </c>
      <c r="G31" s="135">
        <f t="shared" si="9"/>
        <v>36564.339999999997</v>
      </c>
      <c r="H31" s="135">
        <f t="shared" si="9"/>
        <v>65464</v>
      </c>
      <c r="I31" s="201">
        <f t="shared" si="9"/>
        <v>69466.64</v>
      </c>
      <c r="J31" s="134">
        <f t="shared" si="9"/>
        <v>76963.648394220785</v>
      </c>
      <c r="K31" s="135">
        <f t="shared" si="9"/>
        <v>87014.765342247643</v>
      </c>
      <c r="L31" s="135">
        <f t="shared" si="9"/>
        <v>100944.75166157965</v>
      </c>
      <c r="M31" s="135">
        <f t="shared" si="9"/>
        <v>115963.23653315187</v>
      </c>
      <c r="N31" s="201">
        <f t="shared" si="9"/>
        <v>134050.57342284909</v>
      </c>
    </row>
    <row r="32" spans="2:17" s="2" customFormat="1">
      <c r="B32" s="249" t="s">
        <v>54</v>
      </c>
      <c r="C32" s="250">
        <f>C31-C18</f>
        <v>0</v>
      </c>
      <c r="D32" s="251">
        <f t="shared" ref="D32:N32" si="10">D31-D18</f>
        <v>0</v>
      </c>
      <c r="E32" s="251">
        <f t="shared" si="10"/>
        <v>0</v>
      </c>
      <c r="F32" s="251">
        <f t="shared" si="10"/>
        <v>0</v>
      </c>
      <c r="G32" s="251">
        <f t="shared" si="10"/>
        <v>0</v>
      </c>
      <c r="H32" s="251">
        <f t="shared" si="10"/>
        <v>0</v>
      </c>
      <c r="I32" s="252">
        <f t="shared" si="10"/>
        <v>0</v>
      </c>
      <c r="J32" s="251">
        <f t="shared" si="10"/>
        <v>0</v>
      </c>
      <c r="K32" s="251">
        <f t="shared" si="10"/>
        <v>0</v>
      </c>
      <c r="L32" s="251">
        <f t="shared" si="10"/>
        <v>0</v>
      </c>
      <c r="M32" s="251">
        <f t="shared" si="10"/>
        <v>0</v>
      </c>
      <c r="N32" s="252">
        <f t="shared" si="10"/>
        <v>0</v>
      </c>
      <c r="P32" s="105"/>
    </row>
  </sheetData>
  <mergeCells count="1">
    <mergeCell ref="B2:B3"/>
  </mergeCells>
  <hyperlinks>
    <hyperlink ref="Q4" location="'ASSUMPTIONS AND REASONING'!A1" display="VIEW ASSUMPTIONS AND REASONING FILE" xr:uid="{12A3EF6E-2124-412A-AA2B-B37B879F5666}"/>
    <hyperlink ref="Q5" location="'ASSUMPTIONS AND REASONING'!A1" display="VIEW ASSUMPTIONS AND REASONING FILE" xr:uid="{246E257E-50B3-411E-B7FB-997A009489A1}"/>
    <hyperlink ref="P9" location="'FORCAST SCHEDULES'!A1" display="Values from Forcast Schedules" xr:uid="{5487442C-9F29-4226-86C3-FBEA68B36396}"/>
    <hyperlink ref="P6" location="'FORCAST SCHEDULES'!A1" display="Values from Forcast Schedules" xr:uid="{C201C7FC-C6C6-486B-B89C-DA2A6CD958FA}"/>
    <hyperlink ref="P12" location="'FORCAST SCHEDULES'!A1" display="Values from Forcast Schedules" xr:uid="{16EF6C15-C957-4F6E-BA06-DE8BFAB1A556}"/>
    <hyperlink ref="P16" location="'FORCAST SCHEDULES'!A1" display="Values from Forcast Schedules" xr:uid="{E7C30638-1641-4DBB-BCCB-EE2FE9CF297B}"/>
    <hyperlink ref="P18" location="'FORCAST SCHEDULES'!A1" display="Values from Forcast Schedules" xr:uid="{581EBFC6-FF8B-4DB7-98BD-ECA223657BC3}"/>
    <hyperlink ref="P20" location="'FORCAST SCHEDULES'!A1" display="Values from Forcast Schedules" xr:uid="{D97C2FAC-F2BD-4F1A-99E8-399AA05FDCEE}"/>
    <hyperlink ref="P21" location="'FORCAST SCHEDULES'!A1" display="Values from Forcast Schedules" xr:uid="{5DB8612D-6A5E-428C-9C3F-45099B12B1EB}"/>
    <hyperlink ref="P24" location="'FORCAST SCHEDULES'!A1" display="Values from Forcast Schedules" xr:uid="{1A2985B1-3BAE-4598-927A-23D334C96DDE}"/>
    <hyperlink ref="P25" location="'FORCAST SCHEDULES'!A1" display="Values from Forcast Schedules" xr:uid="{8ADFACC5-5EDC-4FBA-A334-07B20712BDA1}"/>
    <hyperlink ref="P26" location="'FORCAST SCHEDULES'!A1" display="Values from Forcast Schedules" xr:uid="{B0909DE3-2C78-4451-A3AB-4CCCBE877CD4}"/>
    <hyperlink ref="P30" location="'FORCAST SCHEDULES'!A1" display="Values from Forcast Schedules" xr:uid="{B084C5AA-7BD9-4DA0-AAC7-E6295B152C1C}"/>
    <hyperlink ref="Q29" location="'ASSUMPTIONS AND REASONING'!A1" display="VIEW ASSUMPTIONS AND REASONING FILE" xr:uid="{FDBC931A-5032-49A6-BE48-721F55396E21}"/>
  </hyperlinks>
  <pageMargins left="0.7" right="0.7" top="0.75" bottom="0.75" header="0.3" footer="0.3"/>
  <ignoredErrors>
    <ignoredError sqref="C7 I7 D7 E7 F7 G7 H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12946-908B-4AAE-8C8B-D269EE153E16}">
  <dimension ref="B2:P31"/>
  <sheetViews>
    <sheetView showGridLines="0" workbookViewId="0">
      <selection activeCell="C36" sqref="C36"/>
    </sheetView>
  </sheetViews>
  <sheetFormatPr defaultRowHeight="14.4"/>
  <cols>
    <col min="1" max="1" width="4.6640625" customWidth="1"/>
    <col min="2" max="2" width="46.77734375" bestFit="1" customWidth="1"/>
    <col min="3" max="5" width="9.44140625" customWidth="1"/>
    <col min="6" max="9" width="10.44140625" customWidth="1"/>
    <col min="10" max="13" width="8.88671875" customWidth="1"/>
    <col min="14" max="14" width="11.109375" customWidth="1"/>
    <col min="15" max="15" width="8.88671875" customWidth="1"/>
    <col min="16" max="16" width="9.88671875" bestFit="1" customWidth="1"/>
  </cols>
  <sheetData>
    <row r="2" spans="2:16">
      <c r="B2" s="276" t="s">
        <v>58</v>
      </c>
      <c r="C2" s="234" t="s">
        <v>96</v>
      </c>
      <c r="D2" s="233" t="s">
        <v>96</v>
      </c>
      <c r="E2" s="233" t="s">
        <v>96</v>
      </c>
      <c r="F2" s="233" t="s">
        <v>96</v>
      </c>
      <c r="G2" s="233" t="s">
        <v>96</v>
      </c>
      <c r="H2" s="233" t="s">
        <v>96</v>
      </c>
      <c r="I2" s="235" t="s">
        <v>96</v>
      </c>
      <c r="J2" s="248" t="s">
        <v>97</v>
      </c>
      <c r="K2" s="157" t="s">
        <v>97</v>
      </c>
      <c r="L2" s="157" t="s">
        <v>97</v>
      </c>
      <c r="M2" s="157" t="s">
        <v>97</v>
      </c>
      <c r="N2" s="158" t="s">
        <v>97</v>
      </c>
      <c r="P2" s="196" t="s">
        <v>308</v>
      </c>
    </row>
    <row r="3" spans="2:16">
      <c r="B3" s="278"/>
      <c r="C3" s="33">
        <v>2019</v>
      </c>
      <c r="D3" s="1">
        <v>2020</v>
      </c>
      <c r="E3" s="1">
        <v>2021</v>
      </c>
      <c r="F3" s="1">
        <v>2022</v>
      </c>
      <c r="G3" s="1">
        <v>2023</v>
      </c>
      <c r="H3" s="1">
        <v>2024</v>
      </c>
      <c r="I3" s="26">
        <v>2025</v>
      </c>
      <c r="J3" s="33">
        <v>2026</v>
      </c>
      <c r="K3" s="1">
        <v>2027</v>
      </c>
      <c r="L3" s="1">
        <v>2028</v>
      </c>
      <c r="M3" s="1">
        <v>2029</v>
      </c>
      <c r="N3" s="26">
        <v>2030</v>
      </c>
    </row>
    <row r="4" spans="2:16">
      <c r="B4" s="138"/>
      <c r="C4" s="17"/>
      <c r="D4" s="6"/>
      <c r="E4" s="6"/>
      <c r="F4" s="6"/>
      <c r="G4" s="6"/>
      <c r="H4" s="6"/>
      <c r="I4" s="7"/>
      <c r="J4" s="33"/>
      <c r="K4" s="1"/>
      <c r="L4" s="1"/>
      <c r="M4" s="1"/>
      <c r="N4" s="26"/>
    </row>
    <row r="5" spans="2:16">
      <c r="B5" s="51" t="s">
        <v>295</v>
      </c>
      <c r="C5" s="19"/>
      <c r="D5" s="2"/>
      <c r="E5" s="2"/>
      <c r="F5" s="2"/>
      <c r="G5" s="2"/>
      <c r="H5" s="2"/>
      <c r="I5" s="9"/>
      <c r="J5" s="34"/>
      <c r="N5" s="25"/>
    </row>
    <row r="6" spans="2:16">
      <c r="B6" s="49" t="s">
        <v>296</v>
      </c>
      <c r="C6" s="19">
        <f>'INCOME STATEMENT'!C33/'INCOME STATEMENT'!C38</f>
        <v>6.9011717171717173</v>
      </c>
      <c r="D6" s="2">
        <f>'INCOME STATEMENT'!D33/'INCOME STATEMENT'!D38</f>
        <v>7.6152727272727274</v>
      </c>
      <c r="E6" s="2">
        <f>'INCOME STATEMENT'!E33/'INCOME STATEMENT'!E38</f>
        <v>14.442101010101011</v>
      </c>
      <c r="F6" s="2">
        <f>'INCOME STATEMENT'!F33/'INCOME STATEMENT'!F38</f>
        <v>20.458181818181817</v>
      </c>
      <c r="G6" s="2">
        <f>'INCOME STATEMENT'!G33/'INCOME STATEMENT'!G38</f>
        <v>29.717575757575759</v>
      </c>
      <c r="H6" s="2">
        <f>'INCOME STATEMENT'!H33/'INCOME STATEMENT'!H38</f>
        <v>33.556767676767677</v>
      </c>
      <c r="I6" s="9">
        <f>'INCOME STATEMENT'!I33/'INCOME STATEMENT'!I38</f>
        <v>45.340767676767676</v>
      </c>
      <c r="J6" s="19">
        <f>'INCOME STATEMENT'!J33/'INCOME STATEMENT'!J38</f>
        <v>54.234679407878787</v>
      </c>
      <c r="K6" s="2">
        <f>'INCOME STATEMENT'!K33/'INCOME STATEMENT'!K38</f>
        <v>65.104376989135162</v>
      </c>
      <c r="L6" s="2">
        <f>'INCOME STATEMENT'!L33/'INCOME STATEMENT'!L38</f>
        <v>77.367456662121896</v>
      </c>
      <c r="M6" s="2">
        <f>'INCOME STATEMENT'!M33/'INCOME STATEMENT'!M38</f>
        <v>91.01739956962831</v>
      </c>
      <c r="N6" s="9">
        <f>'INCOME STATEMENT'!N33/'INCOME STATEMENT'!N38</f>
        <v>106.01852406580493</v>
      </c>
      <c r="P6" t="s">
        <v>309</v>
      </c>
    </row>
    <row r="7" spans="2:16">
      <c r="B7" s="107" t="s">
        <v>297</v>
      </c>
      <c r="C7" s="19">
        <f>'BALANCE SHEET'!C7/'INCOME STATEMENT'!C38</f>
        <v>31.467717171717172</v>
      </c>
      <c r="D7" s="2">
        <f>'BALANCE SHEET'!D7/'INCOME STATEMENT'!D38</f>
        <v>34.836323232323231</v>
      </c>
      <c r="E7" s="2">
        <f>'BALANCE SHEET'!E7/'INCOME STATEMENT'!E38</f>
        <v>47.013939393939395</v>
      </c>
      <c r="F7" s="2">
        <f>'BALANCE SHEET'!F7/'INCOME STATEMENT'!F38</f>
        <v>62.296080808080809</v>
      </c>
      <c r="G7" s="2">
        <f>'BALANCE SHEET'!G7/'INCOME STATEMENT'!G38</f>
        <v>82.7490101010101</v>
      </c>
      <c r="H7" s="2">
        <f>'BALANCE SHEET'!H7/'INCOME STATEMENT'!H38</f>
        <v>96.864161616161624</v>
      </c>
      <c r="I7" s="9">
        <f>'BALANCE SHEET'!I7/'INCOME STATEMENT'!I38</f>
        <v>122.63971717171718</v>
      </c>
      <c r="J7" s="19">
        <f>'BALANCE SHEET'!J7/'INCOME STATEMENT'!J38</f>
        <v>156.26521840460202</v>
      </c>
      <c r="K7" s="2">
        <f>'BALANCE SHEET'!K7/'INCOME STATEMENT'!K38</f>
        <v>196.62993213786586</v>
      </c>
      <c r="L7" s="2">
        <f>'BALANCE SHEET'!L7/'INCOME STATEMENT'!L38</f>
        <v>244.59775526838141</v>
      </c>
      <c r="M7" s="2">
        <f>'BALANCE SHEET'!M7/'INCOME STATEMENT'!M38</f>
        <v>301.02854300155093</v>
      </c>
      <c r="N7" s="9">
        <f>'BALANCE SHEET'!N7/'INCOME STATEMENT'!N38</f>
        <v>366.76002792234999</v>
      </c>
      <c r="P7" t="s">
        <v>310</v>
      </c>
    </row>
    <row r="8" spans="2:16" ht="15.6">
      <c r="B8" s="197"/>
      <c r="C8" s="19"/>
      <c r="D8" s="2"/>
      <c r="E8" s="2"/>
      <c r="F8" s="2"/>
      <c r="G8" s="2"/>
      <c r="H8" s="2"/>
      <c r="I8" s="9"/>
      <c r="J8" s="34"/>
      <c r="N8" s="25"/>
    </row>
    <row r="9" spans="2:16">
      <c r="B9" s="51" t="s">
        <v>298</v>
      </c>
      <c r="C9" s="19"/>
      <c r="D9" s="2"/>
      <c r="E9" s="2"/>
      <c r="F9" s="2"/>
      <c r="G9" s="2"/>
      <c r="H9" s="2"/>
      <c r="I9" s="9"/>
      <c r="J9" s="34"/>
      <c r="N9" s="25"/>
    </row>
    <row r="10" spans="2:16">
      <c r="B10" s="49" t="s">
        <v>299</v>
      </c>
      <c r="C10" s="19">
        <f>'BALANCE SHEET'!C27/'BALANCE SHEET'!C13</f>
        <v>1.4954930676772276</v>
      </c>
      <c r="D10" s="2">
        <f>'BALANCE SHEET'!D27/'BALANCE SHEET'!D13</f>
        <v>1.4947801067253139</v>
      </c>
      <c r="E10" s="2">
        <f>'BALANCE SHEET'!E27/'BALANCE SHEET'!E13</f>
        <v>1.5091710174568527</v>
      </c>
      <c r="F10" s="2">
        <f>'BALANCE SHEET'!F27/'BALANCE SHEET'!F13</f>
        <v>1.7064688810311512</v>
      </c>
      <c r="G10" s="2">
        <f>'BALANCE SHEET'!G27/'BALANCE SHEET'!G13</f>
        <v>2.1355124214183165</v>
      </c>
      <c r="H10" s="2">
        <f>'BALANCE SHEET'!H27/'BALANCE SHEET'!H13</f>
        <v>1.3283254197745611</v>
      </c>
      <c r="I10" s="9">
        <f>'BALANCE SHEET'!I27/'BALANCE SHEET'!I13</f>
        <v>1.7939266390411583</v>
      </c>
      <c r="J10" s="19">
        <f>'BALANCE SHEET'!J27/'BALANCE SHEET'!J13</f>
        <v>2.0619471321095446</v>
      </c>
      <c r="K10" s="2">
        <f>'BALANCE SHEET'!K27/'BALANCE SHEET'!K13</f>
        <v>2.3873706724671604</v>
      </c>
      <c r="L10" s="2">
        <f>'BALANCE SHEET'!L27/'BALANCE SHEET'!L13</f>
        <v>2.8473247434334268</v>
      </c>
      <c r="M10" s="2">
        <f>'BALANCE SHEET'!M27/'BALANCE SHEET'!M13</f>
        <v>3.3175627449652572</v>
      </c>
      <c r="N10" s="9">
        <f>'BALANCE SHEET'!N27/'BALANCE SHEET'!N13</f>
        <v>3.8700688239085492</v>
      </c>
      <c r="P10" t="s">
        <v>311</v>
      </c>
    </row>
    <row r="11" spans="2:16">
      <c r="B11" s="107" t="s">
        <v>300</v>
      </c>
      <c r="C11" s="19">
        <f>('BALANCE SHEET'!C24+'BALANCE SHEET'!C25)/'BALANCE SHEET'!C13</f>
        <v>1.1174452553928318</v>
      </c>
      <c r="D11" s="2">
        <f>('BALANCE SHEET'!D24+'BALANCE SHEET'!D25)/'BALANCE SHEET'!D13</f>
        <v>0.83400317747299824</v>
      </c>
      <c r="E11" s="2">
        <f>('BALANCE SHEET'!E24+'BALANCE SHEET'!E25)/'BALANCE SHEET'!E13</f>
        <v>1.068139063716848</v>
      </c>
      <c r="F11" s="2">
        <f>('BALANCE SHEET'!F24+'BALANCE SHEET'!F25)/'BALANCE SHEET'!F13</f>
        <v>1.1599734348688686</v>
      </c>
      <c r="G11" s="2">
        <f>('BALANCE SHEET'!G24+'BALANCE SHEET'!G25)/'BALANCE SHEET'!G13</f>
        <v>1.2683211226216071</v>
      </c>
      <c r="H11" s="2">
        <f>('BALANCE SHEET'!H24+'BALANCE SHEET'!H25)/'BALANCE SHEET'!H13</f>
        <v>0.96716520994114086</v>
      </c>
      <c r="I11" s="9">
        <f>('BALANCE SHEET'!I24+'BALANCE SHEET'!I25)/'BALANCE SHEET'!I13</f>
        <v>1.1082690581452932</v>
      </c>
      <c r="J11" s="19">
        <f>('BALANCE SHEET'!J24+'BALANCE SHEET'!J25)/'BALANCE SHEET'!J13</f>
        <v>1.380009906570504</v>
      </c>
      <c r="K11" s="2">
        <f>('BALANCE SHEET'!K24+'BALANCE SHEET'!K25)/'BALANCE SHEET'!K13</f>
        <v>1.5477765772358492</v>
      </c>
      <c r="L11" s="2">
        <f>('BALANCE SHEET'!L24+'BALANCE SHEET'!L25)/'BALANCE SHEET'!L13</f>
        <v>1.8253420861091441</v>
      </c>
      <c r="M11" s="2">
        <f>('BALANCE SHEET'!M24+'BALANCE SHEET'!M25)/'BALANCE SHEET'!M13</f>
        <v>2.1921685773852682</v>
      </c>
      <c r="N11" s="9">
        <f>('BALANCE SHEET'!N24+'BALANCE SHEET'!N25)/'BALANCE SHEET'!N13</f>
        <v>2.5827494657889449</v>
      </c>
      <c r="P11" t="s">
        <v>312</v>
      </c>
    </row>
    <row r="12" spans="2:16" ht="15.6">
      <c r="B12" s="197"/>
      <c r="C12" s="19"/>
      <c r="D12" s="2"/>
      <c r="E12" s="2"/>
      <c r="F12" s="2"/>
      <c r="G12" s="2"/>
      <c r="H12" s="2"/>
      <c r="I12" s="9"/>
      <c r="J12" s="34"/>
      <c r="N12" s="25"/>
    </row>
    <row r="13" spans="2:16">
      <c r="B13" s="51" t="s">
        <v>301</v>
      </c>
      <c r="C13" s="19"/>
      <c r="D13" s="2"/>
      <c r="E13" s="2"/>
      <c r="F13" s="2"/>
      <c r="G13" s="2"/>
      <c r="H13" s="2"/>
      <c r="I13" s="9"/>
      <c r="J13" s="34"/>
      <c r="N13" s="25"/>
    </row>
    <row r="14" spans="2:16">
      <c r="B14" s="49" t="s">
        <v>302</v>
      </c>
      <c r="C14" s="18">
        <f>'INCOME STATEMENT'!C7</f>
        <v>1</v>
      </c>
      <c r="D14" s="4">
        <f>'INCOME STATEMENT'!D7</f>
        <v>1</v>
      </c>
      <c r="E14" s="4">
        <f>'INCOME STATEMENT'!E7</f>
        <v>1</v>
      </c>
      <c r="F14" s="4">
        <f>'INCOME STATEMENT'!F7</f>
        <v>1</v>
      </c>
      <c r="G14" s="4">
        <f>'INCOME STATEMENT'!G7</f>
        <v>1</v>
      </c>
      <c r="H14" s="4">
        <f>'INCOME STATEMENT'!H7</f>
        <v>1</v>
      </c>
      <c r="I14" s="8">
        <f>'INCOME STATEMENT'!I7</f>
        <v>1</v>
      </c>
      <c r="J14" s="18">
        <f>'INCOME STATEMENT'!J7</f>
        <v>1</v>
      </c>
      <c r="K14" s="4">
        <f>'INCOME STATEMENT'!K7</f>
        <v>1</v>
      </c>
      <c r="L14" s="4">
        <f>'INCOME STATEMENT'!L7</f>
        <v>1</v>
      </c>
      <c r="M14" s="4">
        <f>'INCOME STATEMENT'!M7</f>
        <v>1</v>
      </c>
      <c r="N14" s="8">
        <f>'INCOME STATEMENT'!N7</f>
        <v>1</v>
      </c>
      <c r="P14" t="s">
        <v>313</v>
      </c>
    </row>
    <row r="15" spans="2:16">
      <c r="B15" s="107" t="s">
        <v>303</v>
      </c>
      <c r="C15" s="18">
        <f>'INCOME STATEMENT'!C15/'INCOME STATEMENT'!C4</f>
        <v>0.64198544081243203</v>
      </c>
      <c r="D15" s="4">
        <f>'INCOME STATEMENT'!D15/'INCOME STATEMENT'!D4</f>
        <v>0.64596784998560419</v>
      </c>
      <c r="E15" s="4">
        <f>'INCOME STATEMENT'!E15/'INCOME STATEMENT'!E4</f>
        <v>0.73614800118048218</v>
      </c>
      <c r="F15" s="4">
        <f>'INCOME STATEMENT'!F15/'INCOME STATEMENT'!F4</f>
        <v>0.72796505767723152</v>
      </c>
      <c r="G15" s="4">
        <f>'INCOME STATEMENT'!G15/'INCOME STATEMENT'!G4</f>
        <v>0.81233130904183537</v>
      </c>
      <c r="H15" s="4">
        <f>'INCOME STATEMENT'!H15/'INCOME STATEMENT'!H4</f>
        <v>0.78558863328822737</v>
      </c>
      <c r="I15" s="8">
        <f>'INCOME STATEMENT'!I15/'INCOME STATEMENT'!I4</f>
        <v>0.7514730762499271</v>
      </c>
      <c r="J15" s="18">
        <f>'INCOME STATEMENT'!J15/'INCOME STATEMENT'!J4</f>
        <v>0.76869999999999994</v>
      </c>
      <c r="K15" s="4">
        <f>'INCOME STATEMENT'!K15/'INCOME STATEMENT'!K4</f>
        <v>0.76870000000000005</v>
      </c>
      <c r="L15" s="4">
        <f>'INCOME STATEMENT'!L15/'INCOME STATEMENT'!L4</f>
        <v>0.76869999999999994</v>
      </c>
      <c r="M15" s="4">
        <f>'INCOME STATEMENT'!M15/'INCOME STATEMENT'!M4</f>
        <v>0.76869999999999994</v>
      </c>
      <c r="N15" s="8">
        <f>'INCOME STATEMENT'!N15/'INCOME STATEMENT'!N4</f>
        <v>0.76869999999999994</v>
      </c>
      <c r="P15" t="s">
        <v>314</v>
      </c>
    </row>
    <row r="16" spans="2:16">
      <c r="B16" s="49" t="s">
        <v>304</v>
      </c>
      <c r="C16" s="18">
        <f>'INCOME STATEMENT'!C21</f>
        <v>0.59460469336963118</v>
      </c>
      <c r="D16" s="4">
        <f>'INCOME STATEMENT'!D21</f>
        <v>0.59443318424255909</v>
      </c>
      <c r="E16" s="4">
        <f>'INCOME STATEMENT'!E21</f>
        <v>0.69596715983800372</v>
      </c>
      <c r="F16" s="4">
        <f>'INCOME STATEMENT'!F21</f>
        <v>0.69011087467801546</v>
      </c>
      <c r="G16" s="4">
        <f>'INCOME STATEMENT'!G21</f>
        <v>0.77994264507422406</v>
      </c>
      <c r="H16" s="4">
        <f>'INCOME STATEMENT'!H21</f>
        <v>0.75588633288227336</v>
      </c>
      <c r="I16" s="8">
        <f>'INCOME STATEMENT'!I21</f>
        <v>0.71958520506388191</v>
      </c>
      <c r="J16" s="18">
        <f>'INCOME STATEMENT'!J21</f>
        <v>0.73312553346309484</v>
      </c>
      <c r="K16" s="4">
        <f>'INCOME STATEMENT'!K21</f>
        <v>0.73178226562365989</v>
      </c>
      <c r="L16" s="4">
        <f>'INCOME STATEMENT'!L21</f>
        <v>0.73066772709140004</v>
      </c>
      <c r="M16" s="4">
        <f>'INCOME STATEMENT'!M21</f>
        <v>0.7296560318894747</v>
      </c>
      <c r="N16" s="8">
        <f>'INCOME STATEMENT'!N21</f>
        <v>0.72867786205734608</v>
      </c>
      <c r="P16" t="s">
        <v>315</v>
      </c>
    </row>
    <row r="17" spans="2:16">
      <c r="B17" s="107" t="s">
        <v>305</v>
      </c>
      <c r="C17" s="18">
        <f>'INCOME STATEMENT'!C35</f>
        <v>0.56983672625124271</v>
      </c>
      <c r="D17" s="4">
        <f>'INCOME STATEMENT'!D35</f>
        <v>0.53729122302896581</v>
      </c>
      <c r="E17" s="4">
        <f>'INCOME STATEMENT'!E35</f>
        <v>0.63547277957339088</v>
      </c>
      <c r="F17" s="4">
        <f>'INCOME STATEMENT'!F35</f>
        <v>0.56707358046813749</v>
      </c>
      <c r="G17" s="4">
        <f>'INCOME STATEMENT'!G35</f>
        <v>0.62036943319838056</v>
      </c>
      <c r="H17" s="4">
        <f>'INCOME STATEMENT'!H35</f>
        <v>0.56192828146143436</v>
      </c>
      <c r="I17" s="8">
        <f>'INCOME STATEMENT'!I35</f>
        <v>0.65467825681115455</v>
      </c>
      <c r="J17" s="18">
        <f>'INCOME STATEMENT'!J35</f>
        <v>0.64718844592565017</v>
      </c>
      <c r="K17" s="4">
        <f>'INCOME STATEMENT'!K35</f>
        <v>0.65012364267627576</v>
      </c>
      <c r="L17" s="4">
        <f>'INCOME STATEMENT'!L35</f>
        <v>0.65472976607815792</v>
      </c>
      <c r="M17" s="4">
        <f>'INCOME STATEMENT'!M35</f>
        <v>0.66115344215100857</v>
      </c>
      <c r="N17" s="8">
        <f>'INCOME STATEMENT'!N35</f>
        <v>0.6696714030056482</v>
      </c>
      <c r="P17" t="s">
        <v>316</v>
      </c>
    </row>
    <row r="18" spans="2:16">
      <c r="B18" s="49" t="s">
        <v>306</v>
      </c>
      <c r="C18" s="19">
        <f>'INCOME STATEMENT'!C33/'BALANCE SHEET'!C7</f>
        <v>0.21930957620829297</v>
      </c>
      <c r="D18" s="2">
        <f>'INCOME STATEMENT'!D33*2/('BALANCE SHEET'!C7+'BALANCE SHEET'!D7)</f>
        <v>0.22970765222955164</v>
      </c>
      <c r="E18" s="2">
        <f>'INCOME STATEMENT'!E33*2/('BALANCE SHEET'!D7+'BALANCE SHEET'!E7)</f>
        <v>0.35289076776809486</v>
      </c>
      <c r="F18" s="2">
        <f>'INCOME STATEMENT'!F33*2/('BALANCE SHEET'!F7+'BALANCE SHEET'!E7)</f>
        <v>0.37431484836197509</v>
      </c>
      <c r="G18" s="2">
        <f>'INCOME STATEMENT'!G33*2/('BALANCE SHEET'!G7+'BALANCE SHEET'!F7)</f>
        <v>0.40977016969435626</v>
      </c>
      <c r="H18" s="2">
        <f>'INCOME STATEMENT'!H33*2/('BALANCE SHEET'!H7+'BALANCE SHEET'!G7)</f>
        <v>0.3736559780772416</v>
      </c>
      <c r="I18" s="9">
        <f>'INCOME STATEMENT'!I33*2/('BALANCE SHEET'!I7+'BALANCE SHEET'!H7)</f>
        <v>0.41312042344894939</v>
      </c>
      <c r="J18" s="19">
        <f>'INCOME STATEMENT'!J33*2/('BALANCE SHEET'!J7+'BALANCE SHEET'!I7)</f>
        <v>0.38891157874858101</v>
      </c>
      <c r="K18" s="2">
        <f>'INCOME STATEMENT'!K33*2/('BALANCE SHEET'!K7+'BALANCE SHEET'!J7)</f>
        <v>0.3689729195148031</v>
      </c>
      <c r="L18" s="2">
        <f>'INCOME STATEMENT'!L33*2/('BALANCE SHEET'!L7+'BALANCE SHEET'!K7)</f>
        <v>0.35069175788548429</v>
      </c>
      <c r="M18" s="2">
        <f>'INCOME STATEMENT'!M33*2/('BALANCE SHEET'!M7+'BALANCE SHEET'!L7)</f>
        <v>0.33362541306467658</v>
      </c>
      <c r="N18" s="9">
        <f>'INCOME STATEMENT'!N33*2/('BALANCE SHEET'!N7+'BALANCE SHEET'!M7)</f>
        <v>0.31752122956859186</v>
      </c>
      <c r="P18" t="s">
        <v>317</v>
      </c>
    </row>
    <row r="19" spans="2:16">
      <c r="B19" s="107" t="s">
        <v>307</v>
      </c>
      <c r="C19" s="19">
        <f>'INCOME STATEMENT'!C33/('BALANCE SHEET'!C31)</f>
        <v>8.5494419467444308E-2</v>
      </c>
      <c r="D19" s="2">
        <f>'INCOME STATEMENT'!D33*2/('BALANCE SHEET'!D31+'BALANCE SHEET'!C31)</f>
        <v>8.5383242228368614E-2</v>
      </c>
      <c r="E19" s="2">
        <f>'INCOME STATEMENT'!E33*2/('BALANCE SHEET'!E31+'BALANCE SHEET'!D31)</f>
        <v>0.13393367839497811</v>
      </c>
      <c r="F19" s="2">
        <f>'INCOME STATEMENT'!F33*2/('BALANCE SHEET'!F31+'BALANCE SHEET'!E31)</f>
        <v>0.15624729990940037</v>
      </c>
      <c r="G19" s="2">
        <f>'INCOME STATEMENT'!G33*2/('BALANCE SHEET'!G31+'BALANCE SHEET'!F31)</f>
        <v>0.2038232905194777</v>
      </c>
      <c r="H19" s="2">
        <f>'INCOME STATEMENT'!H33*2/('BALANCE SHEET'!H31+'BALANCE SHEET'!G31)</f>
        <v>0.16280378569326914</v>
      </c>
      <c r="I19" s="9">
        <f>'INCOME STATEMENT'!I33*2/('BALANCE SHEET'!I31+'BALANCE SHEET'!H31)</f>
        <v>0.16633494067766963</v>
      </c>
      <c r="J19" s="19">
        <f>'INCOME STATEMENT'!J33*2/('BALANCE SHEET'!J31+'BALANCE SHEET'!I31)</f>
        <v>0.18333752259385391</v>
      </c>
      <c r="K19" s="2">
        <f>'INCOME STATEMENT'!K33*2/('BALANCE SHEET'!K31+'BALANCE SHEET'!J31)</f>
        <v>0.19652993266183041</v>
      </c>
      <c r="L19" s="2">
        <f>'INCOME STATEMENT'!L33*2/('BALANCE SHEET'!L31+'BALANCE SHEET'!K31)</f>
        <v>0.20375074195881512</v>
      </c>
      <c r="M19" s="2">
        <f>'INCOME STATEMENT'!M33*2/('BALANCE SHEET'!M31+'BALANCE SHEET'!L31)</f>
        <v>0.20770840743089017</v>
      </c>
      <c r="N19" s="9">
        <f>'INCOME STATEMENT'!N33*2/('BALANCE SHEET'!N31+'BALANCE SHEET'!M31)</f>
        <v>0.20990508253047727</v>
      </c>
      <c r="P19" t="s">
        <v>318</v>
      </c>
    </row>
    <row r="20" spans="2:16">
      <c r="B20" s="50"/>
      <c r="C20" s="19"/>
      <c r="D20" s="2"/>
      <c r="E20" s="2"/>
      <c r="F20" s="2"/>
      <c r="G20" s="2"/>
      <c r="H20" s="2"/>
      <c r="I20" s="9"/>
      <c r="J20" s="34"/>
      <c r="N20" s="25"/>
    </row>
    <row r="21" spans="2:16">
      <c r="B21" s="51" t="s">
        <v>293</v>
      </c>
      <c r="C21" s="19"/>
      <c r="D21" s="2"/>
      <c r="E21" s="2"/>
      <c r="F21" s="2"/>
      <c r="G21" s="2"/>
      <c r="H21" s="2"/>
      <c r="I21" s="9"/>
      <c r="J21" s="34"/>
      <c r="N21" s="25"/>
    </row>
    <row r="22" spans="2:16">
      <c r="B22" s="49" t="s">
        <v>294</v>
      </c>
      <c r="C22" s="253">
        <f>ROUND(('BALANCE SHEET'!C24/'INCOME STATEMENT'!C4)*365,0)</f>
        <v>55</v>
      </c>
      <c r="D22" s="254">
        <f>ROUND(('BALANCE SHEET'!D24/'INCOME STATEMENT'!D4)*365,0)</f>
        <v>68</v>
      </c>
      <c r="E22" s="254">
        <f>ROUND(('BALANCE SHEET'!E24/'INCOME STATEMENT'!E4)*365,0)</f>
        <v>65</v>
      </c>
      <c r="F22" s="254">
        <f>ROUND(('BALANCE SHEET'!F24/'INCOME STATEMENT'!F4)*365,0)</f>
        <v>66</v>
      </c>
      <c r="G22" s="254">
        <f>ROUND(('BALANCE SHEET'!G24/'INCOME STATEMENT'!G4)*365,0)</f>
        <v>49</v>
      </c>
      <c r="H22" s="254">
        <f>ROUND(('BALANCE SHEET'!H24/'INCOME STATEMENT'!H4)*365,0)</f>
        <v>46</v>
      </c>
      <c r="I22" s="199">
        <f>ROUND(('BALANCE SHEET'!I24/'INCOME STATEMENT'!I4)*365,0)</f>
        <v>32</v>
      </c>
      <c r="J22" s="253">
        <f>ROUND(('BALANCE SHEET'!J24/'INCOME STATEMENT'!J4)*365,0)</f>
        <v>42</v>
      </c>
      <c r="K22" s="254">
        <f>ROUND(('BALANCE SHEET'!K24/'INCOME STATEMENT'!K4)*365,0)</f>
        <v>40</v>
      </c>
      <c r="L22" s="254">
        <f>ROUND(('BALANCE SHEET'!L24/'INCOME STATEMENT'!L4)*365,0)</f>
        <v>38</v>
      </c>
      <c r="M22" s="254">
        <f>ROUND(('BALANCE SHEET'!M24/'INCOME STATEMENT'!M4)*365,0)</f>
        <v>40</v>
      </c>
      <c r="N22" s="199">
        <f>ROUND(('BALANCE SHEET'!N24/'INCOME STATEMENT'!N4)*365,0)</f>
        <v>39</v>
      </c>
      <c r="P22" t="s">
        <v>319</v>
      </c>
    </row>
    <row r="23" spans="2:16">
      <c r="B23" s="198"/>
      <c r="C23" s="21"/>
      <c r="D23" s="11"/>
      <c r="E23" s="11"/>
      <c r="F23" s="11"/>
      <c r="G23" s="11"/>
      <c r="H23" s="11"/>
      <c r="I23" s="232"/>
      <c r="J23" s="35"/>
      <c r="K23" s="36"/>
      <c r="L23" s="36"/>
      <c r="M23" s="36"/>
      <c r="N23" s="37"/>
    </row>
    <row r="24" spans="2:16">
      <c r="B24" s="44"/>
      <c r="C24" s="2"/>
      <c r="D24" s="2"/>
      <c r="E24" s="2"/>
      <c r="F24" s="2"/>
      <c r="G24" s="2"/>
      <c r="H24" s="2"/>
      <c r="I24" s="2"/>
    </row>
    <row r="25" spans="2:16">
      <c r="B25" s="44"/>
      <c r="C25" s="2"/>
      <c r="D25" s="2"/>
      <c r="E25" s="2"/>
      <c r="F25" s="2"/>
      <c r="G25" s="2"/>
      <c r="H25" s="2"/>
      <c r="I25" s="2"/>
    </row>
    <row r="26" spans="2:16">
      <c r="B26" s="54"/>
      <c r="C26" s="2"/>
      <c r="D26" s="2"/>
      <c r="E26" s="2"/>
      <c r="F26" s="2"/>
      <c r="G26" s="2"/>
      <c r="H26" s="2"/>
      <c r="I26" s="2"/>
    </row>
    <row r="27" spans="2:16">
      <c r="B27" s="44"/>
      <c r="C27" s="2"/>
      <c r="D27" s="2"/>
      <c r="E27" s="2"/>
      <c r="F27" s="2"/>
      <c r="G27" s="2"/>
      <c r="H27" s="2"/>
      <c r="I27" s="2"/>
    </row>
    <row r="28" spans="2:16">
      <c r="B28" s="44"/>
      <c r="C28" s="2"/>
      <c r="D28" s="2"/>
      <c r="E28" s="2"/>
      <c r="F28" s="2"/>
      <c r="G28" s="2"/>
      <c r="H28" s="2"/>
      <c r="I28" s="2"/>
    </row>
    <row r="29" spans="2:16">
      <c r="B29" s="55"/>
      <c r="C29" s="2"/>
      <c r="D29" s="2"/>
      <c r="E29" s="2"/>
      <c r="F29" s="2"/>
      <c r="G29" s="2"/>
      <c r="H29" s="2"/>
      <c r="I29" s="2"/>
    </row>
    <row r="30" spans="2:16">
      <c r="C30" s="2"/>
      <c r="D30" s="2"/>
      <c r="E30" s="2"/>
      <c r="F30" s="2"/>
      <c r="G30" s="2"/>
      <c r="H30" s="2"/>
      <c r="I30" s="2"/>
    </row>
    <row r="31" spans="2:16">
      <c r="C31" s="2"/>
      <c r="D31" s="2"/>
      <c r="E31" s="2"/>
      <c r="F31" s="2"/>
      <c r="G31" s="2"/>
      <c r="H31" s="2"/>
      <c r="I31" s="2"/>
    </row>
  </sheetData>
  <mergeCells count="1">
    <mergeCell ref="B2: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ED33-22DC-4AD6-A31F-FE6203C2EB86}">
  <dimension ref="B1:H20"/>
  <sheetViews>
    <sheetView showGridLines="0" workbookViewId="0">
      <selection activeCell="B28" sqref="B28"/>
    </sheetView>
  </sheetViews>
  <sheetFormatPr defaultRowHeight="14.4"/>
  <cols>
    <col min="2" max="2" width="37.88671875" bestFit="1" customWidth="1"/>
    <col min="3" max="3" width="20.77734375" bestFit="1" customWidth="1"/>
    <col min="4" max="4" width="10.44140625" bestFit="1" customWidth="1"/>
    <col min="5" max="7" width="9.44140625" bestFit="1" customWidth="1"/>
  </cols>
  <sheetData>
    <row r="1" spans="2:8">
      <c r="B1" s="276" t="s">
        <v>327</v>
      </c>
      <c r="C1" s="280"/>
      <c r="D1" s="280"/>
      <c r="E1" s="280"/>
      <c r="F1" s="280"/>
      <c r="G1" s="280"/>
      <c r="H1" s="277"/>
    </row>
    <row r="2" spans="2:8">
      <c r="B2" s="278" t="s">
        <v>328</v>
      </c>
      <c r="C2" s="281"/>
      <c r="D2" s="281"/>
      <c r="E2" s="281"/>
      <c r="F2" s="281"/>
      <c r="G2" s="281"/>
      <c r="H2" s="174"/>
    </row>
    <row r="4" spans="2:8">
      <c r="B4" s="116" t="s">
        <v>320</v>
      </c>
      <c r="C4" s="116" t="s">
        <v>330</v>
      </c>
      <c r="D4" s="116" t="s">
        <v>209</v>
      </c>
      <c r="E4" s="116" t="s">
        <v>210</v>
      </c>
      <c r="F4" s="116" t="s">
        <v>211</v>
      </c>
      <c r="G4" s="116" t="s">
        <v>321</v>
      </c>
    </row>
    <row r="5" spans="2:8">
      <c r="B5" s="32" t="s">
        <v>3</v>
      </c>
      <c r="C5" s="202">
        <f>'INCOME STATEMENT'!J4</f>
        <v>20740.61</v>
      </c>
      <c r="D5" s="6">
        <v>3313.86</v>
      </c>
      <c r="E5" s="202">
        <v>1133.33</v>
      </c>
      <c r="F5" s="7">
        <v>1083.6300000000001</v>
      </c>
      <c r="G5" s="202">
        <f t="shared" ref="G5:G8" si="0">MEDIAN(C5:F5)</f>
        <v>2223.5950000000003</v>
      </c>
    </row>
    <row r="6" spans="2:8">
      <c r="B6" s="32" t="s">
        <v>184</v>
      </c>
      <c r="C6" s="203">
        <f>'INCOME STATEMENT'!J33</f>
        <v>13423.083153449999</v>
      </c>
      <c r="D6" s="2">
        <v>1584.92</v>
      </c>
      <c r="E6" s="203">
        <v>652.30999999999995</v>
      </c>
      <c r="F6" s="9">
        <v>494.8</v>
      </c>
      <c r="G6" s="203">
        <f t="shared" si="0"/>
        <v>1118.615</v>
      </c>
    </row>
    <row r="7" spans="2:8">
      <c r="B7" s="32" t="s">
        <v>329</v>
      </c>
      <c r="C7" s="203">
        <f>'BALANCE SHEET'!J31</f>
        <v>76963.648394220785</v>
      </c>
      <c r="D7" s="2">
        <v>10341.65</v>
      </c>
      <c r="E7" s="203">
        <v>4325.17</v>
      </c>
      <c r="F7" s="9">
        <v>2162.14</v>
      </c>
      <c r="G7" s="203">
        <f t="shared" si="0"/>
        <v>7333.41</v>
      </c>
    </row>
    <row r="8" spans="2:8">
      <c r="B8" s="32" t="s">
        <v>37</v>
      </c>
      <c r="C8" s="203">
        <f>'BALANCE SHEET'!J7</f>
        <v>38675.641555139002</v>
      </c>
      <c r="D8" s="2">
        <v>4575.7</v>
      </c>
      <c r="E8" s="203">
        <v>1884.4</v>
      </c>
      <c r="F8" s="9">
        <v>1803.87</v>
      </c>
      <c r="G8" s="203">
        <f t="shared" si="0"/>
        <v>3230.05</v>
      </c>
    </row>
    <row r="9" spans="2:8">
      <c r="B9" s="32" t="s">
        <v>322</v>
      </c>
      <c r="C9" s="204"/>
      <c r="D9">
        <v>56.37</v>
      </c>
      <c r="E9" s="32">
        <v>62.93</v>
      </c>
      <c r="F9" s="25">
        <v>66.81</v>
      </c>
      <c r="G9" s="32">
        <f>MEDIAN(C9:F9)</f>
        <v>62.93</v>
      </c>
    </row>
    <row r="10" spans="2:8">
      <c r="B10" s="32" t="s">
        <v>323</v>
      </c>
      <c r="C10" s="204"/>
      <c r="D10">
        <v>20.04</v>
      </c>
      <c r="E10" s="206">
        <v>21.74</v>
      </c>
      <c r="F10" s="25">
        <v>18.78</v>
      </c>
      <c r="G10" s="32">
        <f t="shared" ref="G10:G15" si="1">MEDIAN(C10:F10)</f>
        <v>20.04</v>
      </c>
    </row>
    <row r="11" spans="2:8">
      <c r="B11" s="32" t="s">
        <v>324</v>
      </c>
      <c r="C11" s="204"/>
      <c r="D11">
        <v>25.9</v>
      </c>
      <c r="E11" s="206">
        <v>39.74</v>
      </c>
      <c r="F11" s="25">
        <v>29.63</v>
      </c>
      <c r="G11" s="32">
        <f t="shared" si="1"/>
        <v>29.63</v>
      </c>
    </row>
    <row r="12" spans="2:8">
      <c r="B12" s="32" t="s">
        <v>325</v>
      </c>
      <c r="C12" s="204"/>
      <c r="D12">
        <v>38.92</v>
      </c>
      <c r="E12" s="206">
        <v>51.75</v>
      </c>
      <c r="F12" s="25">
        <v>44.23</v>
      </c>
      <c r="G12" s="32">
        <f t="shared" si="1"/>
        <v>44.23</v>
      </c>
    </row>
    <row r="13" spans="2:8">
      <c r="B13" s="32" t="s">
        <v>326</v>
      </c>
      <c r="C13" s="204"/>
      <c r="D13" s="119">
        <f>D6/D5</f>
        <v>0.47827005365344344</v>
      </c>
      <c r="E13" s="207">
        <f t="shared" ref="E13:F13" si="2">E6/E5</f>
        <v>0.57556933990982329</v>
      </c>
      <c r="F13" s="72">
        <f t="shared" si="2"/>
        <v>0.45661341970967945</v>
      </c>
      <c r="G13" s="207">
        <f t="shared" si="1"/>
        <v>0.47827005365344344</v>
      </c>
    </row>
    <row r="14" spans="2:8">
      <c r="B14" s="32" t="s">
        <v>59</v>
      </c>
      <c r="C14" s="204"/>
      <c r="D14" s="119">
        <f>D6/D8</f>
        <v>0.34637760342679813</v>
      </c>
      <c r="E14" s="207">
        <f t="shared" ref="E14:F14" si="3">E6/E8</f>
        <v>0.34616323498195706</v>
      </c>
      <c r="F14" s="72">
        <f t="shared" si="3"/>
        <v>0.2742991457255789</v>
      </c>
      <c r="G14" s="207">
        <f t="shared" si="1"/>
        <v>0.34616323498195706</v>
      </c>
    </row>
    <row r="15" spans="2:8">
      <c r="B15" s="120" t="s">
        <v>60</v>
      </c>
      <c r="C15" s="205"/>
      <c r="D15" s="122">
        <f>D6/D7</f>
        <v>0.15325600847060189</v>
      </c>
      <c r="E15" s="208">
        <f t="shared" ref="E15:F15" si="4">E6/E7</f>
        <v>0.1508171933126328</v>
      </c>
      <c r="F15" s="123">
        <f t="shared" si="4"/>
        <v>0.2288473456852933</v>
      </c>
      <c r="G15" s="208">
        <f t="shared" si="1"/>
        <v>0.15325600847060189</v>
      </c>
    </row>
    <row r="18" spans="2:5">
      <c r="E18" s="196" t="s">
        <v>308</v>
      </c>
    </row>
    <row r="19" spans="2:5">
      <c r="B19" t="s">
        <v>333</v>
      </c>
      <c r="C19" s="2">
        <f>G12*'INCOME STATEMENT'!J15</f>
        <v>705172.46449660999</v>
      </c>
      <c r="D19" s="2"/>
      <c r="E19" t="s">
        <v>335</v>
      </c>
    </row>
    <row r="20" spans="2:5">
      <c r="B20" t="s">
        <v>334</v>
      </c>
      <c r="C20" s="2">
        <f>G9*C6</f>
        <v>844714.6228466084</v>
      </c>
      <c r="E20" t="s">
        <v>336</v>
      </c>
    </row>
  </sheetData>
  <mergeCells count="2">
    <mergeCell ref="B1:H1"/>
    <mergeCell ref="B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F08D-8FEB-43F0-9ABC-3DA41B474466}">
  <dimension ref="B3:F16"/>
  <sheetViews>
    <sheetView showGridLines="0" workbookViewId="0">
      <selection activeCell="D22" sqref="D22"/>
    </sheetView>
  </sheetViews>
  <sheetFormatPr defaultRowHeight="14.4"/>
  <cols>
    <col min="2" max="2" width="33.5546875" bestFit="1" customWidth="1"/>
    <col min="3" max="3" width="15" bestFit="1" customWidth="1"/>
    <col min="4" max="4" width="20.5546875" bestFit="1" customWidth="1"/>
    <col min="6" max="6" width="63" bestFit="1" customWidth="1"/>
  </cols>
  <sheetData>
    <row r="3" spans="2:6" ht="18">
      <c r="B3" s="282" t="s">
        <v>337</v>
      </c>
      <c r="C3" s="283"/>
      <c r="D3" s="284"/>
      <c r="F3" s="196" t="s">
        <v>308</v>
      </c>
    </row>
    <row r="4" spans="2:6">
      <c r="B4" s="213" t="s">
        <v>331</v>
      </c>
      <c r="C4" s="214" t="s">
        <v>332</v>
      </c>
      <c r="D4" s="213" t="s">
        <v>338</v>
      </c>
    </row>
    <row r="5" spans="2:6">
      <c r="B5" s="209" t="s">
        <v>339</v>
      </c>
      <c r="C5" s="212" t="s">
        <v>261</v>
      </c>
      <c r="D5" s="217">
        <f>('WACC AND DCF CALCULATION'!C69+'WACC AND DCF CALCULATION'!F69)/2</f>
        <v>1108272.0540919749</v>
      </c>
      <c r="F5" t="s">
        <v>341</v>
      </c>
    </row>
    <row r="6" spans="2:6">
      <c r="B6" s="209" t="s">
        <v>339</v>
      </c>
      <c r="C6" s="146" t="s">
        <v>289</v>
      </c>
      <c r="D6" s="210">
        <f>D5</f>
        <v>1108272.0540919749</v>
      </c>
    </row>
    <row r="7" spans="2:6">
      <c r="B7" s="209" t="s">
        <v>340</v>
      </c>
      <c r="C7" s="146" t="s">
        <v>261</v>
      </c>
      <c r="D7" s="210">
        <f>'Comparable Company Analysis (CC'!C19</f>
        <v>705172.46449660999</v>
      </c>
    </row>
    <row r="8" spans="2:6">
      <c r="B8" s="209" t="s">
        <v>340</v>
      </c>
      <c r="C8" s="146" t="s">
        <v>289</v>
      </c>
      <c r="D8" s="210">
        <f>'Comparable Company Analysis (CC'!C20</f>
        <v>844714.6228466084</v>
      </c>
    </row>
    <row r="9" spans="2:6">
      <c r="B9" s="209" t="s">
        <v>339</v>
      </c>
      <c r="C9" s="146" t="s">
        <v>342</v>
      </c>
      <c r="D9" s="104">
        <f>D5/'INCOME STATEMENT'!J38</f>
        <v>4477.8668852201008</v>
      </c>
      <c r="F9" t="s">
        <v>343</v>
      </c>
    </row>
    <row r="10" spans="2:6">
      <c r="B10" s="211" t="s">
        <v>340</v>
      </c>
      <c r="C10" s="216" t="s">
        <v>342</v>
      </c>
      <c r="D10" s="215">
        <f>D8/'INCOME STATEMENT'!J38</f>
        <v>3412.9883751378115</v>
      </c>
      <c r="F10" t="s">
        <v>343</v>
      </c>
    </row>
    <row r="13" spans="2:6">
      <c r="B13" s="218" t="s">
        <v>344</v>
      </c>
      <c r="C13" s="219" t="s">
        <v>345</v>
      </c>
    </row>
    <row r="14" spans="2:6">
      <c r="B14" s="220" t="s">
        <v>346</v>
      </c>
      <c r="C14" s="221">
        <f>D9</f>
        <v>4477.8668852201008</v>
      </c>
    </row>
    <row r="15" spans="2:6">
      <c r="B15" s="148" t="s">
        <v>347</v>
      </c>
      <c r="C15" s="222">
        <f>D10</f>
        <v>3412.9883751378115</v>
      </c>
    </row>
    <row r="16" spans="2:6">
      <c r="B16" s="151" t="s">
        <v>348</v>
      </c>
      <c r="C16" s="223">
        <f>AVERAGE(C14:C15)</f>
        <v>3945.427630178956</v>
      </c>
    </row>
  </sheetData>
  <mergeCells count="1">
    <mergeCell ref="B3:D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8D586-F5F9-4DF3-A0C8-B935F93B5135}">
  <dimension ref="B1:Q73"/>
  <sheetViews>
    <sheetView showGridLines="0" topLeftCell="A22" workbookViewId="0">
      <selection activeCell="H78" sqref="H78"/>
    </sheetView>
  </sheetViews>
  <sheetFormatPr defaultRowHeight="14.4"/>
  <cols>
    <col min="2" max="2" width="34.77734375" bestFit="1" customWidth="1"/>
    <col min="3" max="5" width="10.44140625" bestFit="1" customWidth="1"/>
    <col min="6" max="7" width="11.109375" bestFit="1" customWidth="1"/>
    <col min="8" max="9" width="12.109375" bestFit="1" customWidth="1"/>
    <col min="10" max="14" width="14.6640625" bestFit="1" customWidth="1"/>
    <col min="16" max="16" width="61.5546875" style="25" bestFit="1" customWidth="1"/>
    <col min="17" max="17" width="255.77734375" style="91" bestFit="1" customWidth="1"/>
  </cols>
  <sheetData>
    <row r="1" spans="2:17">
      <c r="P1"/>
    </row>
    <row r="2" spans="2:17">
      <c r="B2" s="60" t="s">
        <v>114</v>
      </c>
      <c r="C2" s="234" t="s">
        <v>96</v>
      </c>
      <c r="D2" s="233" t="s">
        <v>96</v>
      </c>
      <c r="E2" s="233" t="s">
        <v>96</v>
      </c>
      <c r="F2" s="233" t="s">
        <v>96</v>
      </c>
      <c r="G2" s="233" t="s">
        <v>96</v>
      </c>
      <c r="H2" s="233" t="s">
        <v>96</v>
      </c>
      <c r="I2" s="235" t="s">
        <v>96</v>
      </c>
      <c r="J2" s="248" t="s">
        <v>97</v>
      </c>
      <c r="K2" s="157" t="s">
        <v>97</v>
      </c>
      <c r="L2" s="157" t="s">
        <v>97</v>
      </c>
      <c r="M2" s="157" t="s">
        <v>97</v>
      </c>
      <c r="N2" s="158" t="s">
        <v>97</v>
      </c>
      <c r="P2" s="93" t="s">
        <v>103</v>
      </c>
      <c r="Q2" s="90" t="s">
        <v>106</v>
      </c>
    </row>
    <row r="3" spans="2:17">
      <c r="B3" s="116"/>
      <c r="C3" s="86">
        <v>2019</v>
      </c>
      <c r="D3" s="87">
        <v>2020</v>
      </c>
      <c r="E3" s="87">
        <v>2021</v>
      </c>
      <c r="F3" s="87">
        <v>2022</v>
      </c>
      <c r="G3" s="87">
        <v>2023</v>
      </c>
      <c r="H3" s="87">
        <v>2024</v>
      </c>
      <c r="I3" s="88">
        <v>2025</v>
      </c>
      <c r="J3" s="86">
        <v>2026</v>
      </c>
      <c r="K3" s="87">
        <v>2027</v>
      </c>
      <c r="L3" s="87">
        <v>2028</v>
      </c>
      <c r="M3" s="87">
        <v>2029</v>
      </c>
      <c r="N3" s="88">
        <v>2030</v>
      </c>
    </row>
    <row r="4" spans="2:17">
      <c r="B4" s="60" t="s">
        <v>116</v>
      </c>
      <c r="C4" s="255"/>
      <c r="D4" s="106">
        <f>C9</f>
        <v>645.75</v>
      </c>
      <c r="E4" s="106">
        <f t="shared" ref="E4:N4" si="0">D9</f>
        <v>631.80999999999995</v>
      </c>
      <c r="F4" s="106">
        <f t="shared" si="0"/>
        <v>795.82</v>
      </c>
      <c r="G4" s="106">
        <f t="shared" si="0"/>
        <v>1144.18</v>
      </c>
      <c r="H4" s="106">
        <f t="shared" si="0"/>
        <v>1060.7</v>
      </c>
      <c r="I4" s="111">
        <f t="shared" si="0"/>
        <v>1098.6400000000001</v>
      </c>
      <c r="J4" s="125">
        <f t="shared" si="0"/>
        <v>1655.13</v>
      </c>
      <c r="K4" s="106">
        <f t="shared" si="0"/>
        <v>2078.7680235999997</v>
      </c>
      <c r="L4" s="106">
        <f t="shared" si="0"/>
        <v>2551.7225295139997</v>
      </c>
      <c r="M4" s="106">
        <f t="shared" si="0"/>
        <v>3077.2126801427398</v>
      </c>
      <c r="N4" s="111">
        <f t="shared" si="0"/>
        <v>3654.9382476497749</v>
      </c>
    </row>
    <row r="5" spans="2:17">
      <c r="B5" s="32" t="s">
        <v>73</v>
      </c>
      <c r="C5" s="256"/>
      <c r="D5" s="105">
        <f>D9-D4+D7</f>
        <v>166.83999999999995</v>
      </c>
      <c r="E5" s="105">
        <f t="shared" ref="E5:I5" si="1">E9-E4+E7</f>
        <v>390.0200000000001</v>
      </c>
      <c r="F5" s="105">
        <f t="shared" si="1"/>
        <v>686.36</v>
      </c>
      <c r="G5" s="105">
        <f t="shared" si="1"/>
        <v>300.52</v>
      </c>
      <c r="H5" s="105">
        <f t="shared" si="1"/>
        <v>476.94000000000005</v>
      </c>
      <c r="I5" s="104">
        <f t="shared" si="1"/>
        <v>1103.08</v>
      </c>
      <c r="J5" s="126">
        <f>$P$5*'INCOME STATEMENT'!J4</f>
        <v>1161.47416</v>
      </c>
      <c r="K5" s="105">
        <f>$P$5*'INCOME STATEMENT'!K4</f>
        <v>1387.9616212000003</v>
      </c>
      <c r="L5" s="105">
        <f>$P$5*'INCOME STATEMENT'!L4</f>
        <v>1637.7947130160003</v>
      </c>
      <c r="M5" s="105">
        <f>$P$5*'INCOME STATEMENT'!M4</f>
        <v>1908.0308406636404</v>
      </c>
      <c r="N5" s="104">
        <f>$P$5*'INCOME STATEMENT'!N4</f>
        <v>2194.2354667631862</v>
      </c>
      <c r="P5" s="72">
        <v>5.6000000000000001E-2</v>
      </c>
      <c r="Q5" s="91" t="s">
        <v>118</v>
      </c>
    </row>
    <row r="6" spans="2:17">
      <c r="B6" s="32" t="s">
        <v>117</v>
      </c>
      <c r="C6" s="256"/>
      <c r="D6" s="119">
        <f>D5/'INCOME STATEMENT'!D4</f>
        <v>4.7560812216891429E-2</v>
      </c>
      <c r="E6" s="119">
        <f>E5/'INCOME STATEMENT'!E4</f>
        <v>6.9339107740336595E-2</v>
      </c>
      <c r="F6" s="119">
        <f>F5/'INCOME STATEMENT'!F4</f>
        <v>7.6868630305745325E-2</v>
      </c>
      <c r="G6" s="119">
        <f>G5/'INCOME STATEMENT'!G4</f>
        <v>2.534750337381916E-2</v>
      </c>
      <c r="H6" s="119">
        <f>H5/'INCOME STATEMENT'!H4</f>
        <v>3.2269282814614345E-2</v>
      </c>
      <c r="I6" s="72">
        <f>I5/'INCOME STATEMENT'!I4</f>
        <v>6.435330494136865E-2</v>
      </c>
      <c r="J6" s="259">
        <f>J5/'INCOME STATEMENT'!J4</f>
        <v>5.5999999999999994E-2</v>
      </c>
      <c r="K6" s="119">
        <f>K5/'INCOME STATEMENT'!K4</f>
        <v>5.6000000000000001E-2</v>
      </c>
      <c r="L6" s="119">
        <f>L5/'INCOME STATEMENT'!L4</f>
        <v>5.6000000000000008E-2</v>
      </c>
      <c r="M6" s="119">
        <f>M5/'INCOME STATEMENT'!M4</f>
        <v>5.6000000000000001E-2</v>
      </c>
      <c r="N6" s="72">
        <f>N5/'INCOME STATEMENT'!N4</f>
        <v>5.6000000000000001E-2</v>
      </c>
    </row>
    <row r="7" spans="2:17" s="89" customFormat="1" ht="43.2">
      <c r="B7" s="32" t="s">
        <v>10</v>
      </c>
      <c r="C7" s="257"/>
      <c r="D7" s="105">
        <f>'INCOME STATEMENT'!D19</f>
        <v>180.78</v>
      </c>
      <c r="E7" s="105">
        <f>'INCOME STATEMENT'!E19</f>
        <v>226.01</v>
      </c>
      <c r="F7" s="105">
        <f>'INCOME STATEMENT'!F19</f>
        <v>338</v>
      </c>
      <c r="G7" s="105">
        <f>'INCOME STATEMENT'!G19</f>
        <v>384</v>
      </c>
      <c r="H7" s="105">
        <f>'INCOME STATEMENT'!H19</f>
        <v>439</v>
      </c>
      <c r="I7" s="104">
        <f>'INCOME STATEMENT'!I19</f>
        <v>546.59</v>
      </c>
      <c r="J7" s="126">
        <f>$P$7*(J4+0.5*J5)</f>
        <v>737.83613639999999</v>
      </c>
      <c r="K7" s="105">
        <f t="shared" ref="K7:N7" si="2">$P$7*(K4+0.5*K5)</f>
        <v>915.00711528599993</v>
      </c>
      <c r="L7" s="105">
        <f t="shared" si="2"/>
        <v>1112.3045623872599</v>
      </c>
      <c r="M7" s="105">
        <f t="shared" si="2"/>
        <v>1330.3052731566049</v>
      </c>
      <c r="N7" s="104">
        <f t="shared" si="2"/>
        <v>1568.1784737403516</v>
      </c>
      <c r="P7" s="94">
        <v>0.33</v>
      </c>
      <c r="Q7" s="92" t="s">
        <v>120</v>
      </c>
    </row>
    <row r="8" spans="2:17">
      <c r="B8" s="32" t="s">
        <v>119</v>
      </c>
      <c r="C8" s="256"/>
      <c r="D8" s="119">
        <f>D7/(D4+0.5*D5)</f>
        <v>0.24792572376811994</v>
      </c>
      <c r="E8" s="119">
        <f t="shared" ref="E8:N8" si="3">E7/(E4+0.5*E5)</f>
        <v>0.2733484918120026</v>
      </c>
      <c r="F8" s="119">
        <f t="shared" si="3"/>
        <v>0.2967515364354697</v>
      </c>
      <c r="G8" s="119">
        <f t="shared" si="3"/>
        <v>0.29665337906739592</v>
      </c>
      <c r="H8" s="119">
        <f t="shared" si="3"/>
        <v>0.33790804898512122</v>
      </c>
      <c r="I8" s="72">
        <f t="shared" si="3"/>
        <v>0.33123053242676559</v>
      </c>
      <c r="J8" s="259">
        <f t="shared" si="3"/>
        <v>0.33</v>
      </c>
      <c r="K8" s="119">
        <f t="shared" si="3"/>
        <v>0.33</v>
      </c>
      <c r="L8" s="119">
        <f t="shared" si="3"/>
        <v>0.33</v>
      </c>
      <c r="M8" s="119">
        <f t="shared" si="3"/>
        <v>0.33</v>
      </c>
      <c r="N8" s="72">
        <f t="shared" si="3"/>
        <v>0.33</v>
      </c>
    </row>
    <row r="9" spans="2:17">
      <c r="B9" s="116" t="s">
        <v>115</v>
      </c>
      <c r="C9" s="258">
        <f>'BALANCE SHEET'!C20</f>
        <v>645.75</v>
      </c>
      <c r="D9" s="117">
        <f>'BALANCE SHEET'!D20</f>
        <v>631.80999999999995</v>
      </c>
      <c r="E9" s="117">
        <f>'BALANCE SHEET'!E20</f>
        <v>795.82</v>
      </c>
      <c r="F9" s="117">
        <f>'BALANCE SHEET'!F20</f>
        <v>1144.18</v>
      </c>
      <c r="G9" s="117">
        <f>'BALANCE SHEET'!G20</f>
        <v>1060.7</v>
      </c>
      <c r="H9" s="117">
        <f>'BALANCE SHEET'!H20</f>
        <v>1098.6400000000001</v>
      </c>
      <c r="I9" s="118">
        <f>'BALANCE SHEET'!I20</f>
        <v>1655.13</v>
      </c>
      <c r="J9" s="258">
        <f>J4+J5-J7</f>
        <v>2078.7680235999997</v>
      </c>
      <c r="K9" s="117">
        <f>K4+K5-K7</f>
        <v>2551.7225295139997</v>
      </c>
      <c r="L9" s="117">
        <f>L4+L5-L7</f>
        <v>3077.2126801427398</v>
      </c>
      <c r="M9" s="117">
        <f>M4+M5-M7</f>
        <v>3654.9382476497749</v>
      </c>
      <c r="N9" s="118">
        <f>N4+N5-N7</f>
        <v>4280.9952406726097</v>
      </c>
    </row>
    <row r="12" spans="2:17">
      <c r="B12" s="60" t="s">
        <v>143</v>
      </c>
      <c r="C12" s="234" t="s">
        <v>96</v>
      </c>
      <c r="D12" s="233" t="s">
        <v>96</v>
      </c>
      <c r="E12" s="233" t="s">
        <v>96</v>
      </c>
      <c r="F12" s="233" t="s">
        <v>96</v>
      </c>
      <c r="G12" s="233" t="s">
        <v>96</v>
      </c>
      <c r="H12" s="233" t="s">
        <v>96</v>
      </c>
      <c r="I12" s="235" t="s">
        <v>96</v>
      </c>
      <c r="J12" s="248" t="s">
        <v>97</v>
      </c>
      <c r="K12" s="157" t="s">
        <v>97</v>
      </c>
      <c r="L12" s="157" t="s">
        <v>97</v>
      </c>
      <c r="M12" s="157" t="s">
        <v>97</v>
      </c>
      <c r="N12" s="158" t="s">
        <v>97</v>
      </c>
    </row>
    <row r="13" spans="2:17">
      <c r="B13" s="116"/>
      <c r="C13" s="86">
        <v>2019</v>
      </c>
      <c r="D13" s="87">
        <v>2020</v>
      </c>
      <c r="E13" s="87">
        <v>2021</v>
      </c>
      <c r="F13" s="87">
        <v>2022</v>
      </c>
      <c r="G13" s="87">
        <v>2023</v>
      </c>
      <c r="H13" s="87">
        <v>2024</v>
      </c>
      <c r="I13" s="88">
        <v>2025</v>
      </c>
      <c r="J13" s="86">
        <v>2026</v>
      </c>
      <c r="K13" s="87">
        <v>2027</v>
      </c>
      <c r="L13" s="87">
        <v>2028</v>
      </c>
      <c r="M13" s="87">
        <v>2029</v>
      </c>
      <c r="N13" s="88">
        <v>2030</v>
      </c>
    </row>
    <row r="14" spans="2:17">
      <c r="B14" s="60" t="s">
        <v>130</v>
      </c>
      <c r="C14" s="260"/>
      <c r="D14" s="106">
        <f>C17</f>
        <v>7738.76</v>
      </c>
      <c r="E14" s="106">
        <f t="shared" ref="E14:N14" si="4">D17</f>
        <v>8572.49</v>
      </c>
      <c r="F14" s="106">
        <f t="shared" si="4"/>
        <v>11586.45</v>
      </c>
      <c r="G14" s="106">
        <f t="shared" si="4"/>
        <v>15368.779999999999</v>
      </c>
      <c r="H14" s="106">
        <f t="shared" si="4"/>
        <v>20430.879999999997</v>
      </c>
      <c r="I14" s="111">
        <f t="shared" si="4"/>
        <v>23924.379999999997</v>
      </c>
      <c r="J14" s="125">
        <f t="shared" si="4"/>
        <v>30105.83</v>
      </c>
      <c r="K14" s="106">
        <f t="shared" si="4"/>
        <v>38428.141555139002</v>
      </c>
      <c r="L14" s="106">
        <f t="shared" si="4"/>
        <v>48418.408204121799</v>
      </c>
      <c r="M14" s="106">
        <f t="shared" si="4"/>
        <v>60290.444428924398</v>
      </c>
      <c r="N14" s="111">
        <f t="shared" si="4"/>
        <v>74257.064392883854</v>
      </c>
    </row>
    <row r="15" spans="2:17">
      <c r="B15" s="32" t="s">
        <v>131</v>
      </c>
      <c r="C15" s="261"/>
      <c r="D15" s="105">
        <f>'INCOME STATEMENT'!D33</f>
        <v>1884.78</v>
      </c>
      <c r="E15" s="105">
        <f>'INCOME STATEMENT'!E33</f>
        <v>3574.42</v>
      </c>
      <c r="F15" s="105">
        <f>'INCOME STATEMENT'!F33</f>
        <v>5063.3999999999996</v>
      </c>
      <c r="G15" s="105">
        <f>'INCOME STATEMENT'!G33</f>
        <v>7355.1</v>
      </c>
      <c r="H15" s="105">
        <f>'INCOME STATEMENT'!H33</f>
        <v>8305.2999999999993</v>
      </c>
      <c r="I15" s="104">
        <f>'INCOME STATEMENT'!I33</f>
        <v>11221.84</v>
      </c>
      <c r="J15" s="126">
        <f>'INCOME STATEMENT'!J33</f>
        <v>13423.083153449999</v>
      </c>
      <c r="K15" s="105">
        <f>'INCOME STATEMENT'!K33</f>
        <v>16113.333304810953</v>
      </c>
      <c r="L15" s="105">
        <f>'INCOME STATEMENT'!L33</f>
        <v>19148.445523875169</v>
      </c>
      <c r="M15" s="105">
        <f>'INCOME STATEMENT'!M33</f>
        <v>22526.806393483006</v>
      </c>
      <c r="N15" s="104">
        <f>'INCOME STATEMENT'!N33</f>
        <v>26239.584706286718</v>
      </c>
    </row>
    <row r="16" spans="2:17">
      <c r="B16" s="32" t="s">
        <v>132</v>
      </c>
      <c r="C16" s="261"/>
      <c r="D16" s="114">
        <f>'CASH FLOW'!E25</f>
        <v>1051.0500000000004</v>
      </c>
      <c r="E16" s="114">
        <f>'CASH FLOW'!F25</f>
        <v>560.45999999999913</v>
      </c>
      <c r="F16" s="114">
        <f>'CASH FLOW'!G25</f>
        <v>1281.0699999999997</v>
      </c>
      <c r="G16" s="114">
        <f>'CASH FLOW'!H25</f>
        <v>2293</v>
      </c>
      <c r="H16" s="114">
        <f>'CASH FLOW'!I25</f>
        <v>4811.7999999999993</v>
      </c>
      <c r="I16" s="115">
        <f>'CASH FLOW'!J25</f>
        <v>5040.3899999999994</v>
      </c>
      <c r="J16" s="263">
        <f>'CASH FLOW'!K25</f>
        <v>5100.7715983110002</v>
      </c>
      <c r="K16" s="114">
        <f>'CASH FLOW'!L25</f>
        <v>6123.0666558281619</v>
      </c>
      <c r="L16" s="114">
        <f>'CASH FLOW'!M25</f>
        <v>7276.409299072564</v>
      </c>
      <c r="M16" s="114">
        <f>'CASH FLOW'!N25</f>
        <v>8560.1864295235428</v>
      </c>
      <c r="N16" s="115">
        <f>'CASH FLOW'!O25</f>
        <v>9971.0421883889521</v>
      </c>
    </row>
    <row r="17" spans="2:17">
      <c r="B17" s="116" t="s">
        <v>133</v>
      </c>
      <c r="C17" s="258">
        <f>'BALANCE SHEET'!C6</f>
        <v>7738.76</v>
      </c>
      <c r="D17" s="117">
        <f>D14+D15-D16</f>
        <v>8572.49</v>
      </c>
      <c r="E17" s="117">
        <f t="shared" ref="E17:N17" si="5">E14+E15-E16</f>
        <v>11586.45</v>
      </c>
      <c r="F17" s="117">
        <f t="shared" si="5"/>
        <v>15368.779999999999</v>
      </c>
      <c r="G17" s="117">
        <f t="shared" si="5"/>
        <v>20430.879999999997</v>
      </c>
      <c r="H17" s="117">
        <f t="shared" si="5"/>
        <v>23924.379999999997</v>
      </c>
      <c r="I17" s="118">
        <f t="shared" si="5"/>
        <v>30105.83</v>
      </c>
      <c r="J17" s="258">
        <f t="shared" si="5"/>
        <v>38428.141555139002</v>
      </c>
      <c r="K17" s="117">
        <f t="shared" si="5"/>
        <v>48418.408204121799</v>
      </c>
      <c r="L17" s="117">
        <f t="shared" si="5"/>
        <v>60290.444428924398</v>
      </c>
      <c r="M17" s="117">
        <f t="shared" si="5"/>
        <v>74257.064392883854</v>
      </c>
      <c r="N17" s="118">
        <f t="shared" si="5"/>
        <v>90525.606910781629</v>
      </c>
    </row>
    <row r="18" spans="2:17">
      <c r="B18" s="45" t="s">
        <v>134</v>
      </c>
      <c r="C18" s="46">
        <f>C17-'BALANCE SHEET'!C6</f>
        <v>0</v>
      </c>
      <c r="D18" s="47">
        <f>D17-'BALANCE SHEET'!D6</f>
        <v>0</v>
      </c>
      <c r="E18" s="47">
        <f>E17-'BALANCE SHEET'!E6</f>
        <v>0</v>
      </c>
      <c r="F18" s="47">
        <f>F17-'BALANCE SHEET'!F6</f>
        <v>0</v>
      </c>
      <c r="G18" s="47">
        <f>G17-'BALANCE SHEET'!G6</f>
        <v>0</v>
      </c>
      <c r="H18" s="47">
        <f>H17-'BALANCE SHEET'!H6</f>
        <v>0</v>
      </c>
      <c r="I18" s="262">
        <f>I17-'BALANCE SHEET'!I6</f>
        <v>0</v>
      </c>
      <c r="J18" s="46">
        <f>J17-'BALANCE SHEET'!J6</f>
        <v>0</v>
      </c>
      <c r="K18" s="47">
        <f>K17-'BALANCE SHEET'!K6</f>
        <v>0</v>
      </c>
      <c r="L18" s="47">
        <f>L17-'BALANCE SHEET'!L6</f>
        <v>0</v>
      </c>
      <c r="M18" s="47">
        <f>M17-'BALANCE SHEET'!M6</f>
        <v>0</v>
      </c>
      <c r="N18" s="262">
        <f>N17-'BALANCE SHEET'!N6</f>
        <v>0</v>
      </c>
    </row>
    <row r="19" spans="2:17">
      <c r="B19" s="54"/>
      <c r="C19" s="58"/>
      <c r="D19" s="58"/>
      <c r="E19" s="58"/>
      <c r="F19" s="58"/>
      <c r="G19" s="58"/>
      <c r="H19" s="58"/>
      <c r="I19" s="58"/>
      <c r="J19" s="58"/>
      <c r="K19" s="58"/>
      <c r="L19" s="58"/>
      <c r="M19" s="58"/>
      <c r="N19" s="58"/>
    </row>
    <row r="21" spans="2:17">
      <c r="B21" s="60" t="s">
        <v>135</v>
      </c>
      <c r="C21" s="234" t="s">
        <v>96</v>
      </c>
      <c r="D21" s="233" t="s">
        <v>96</v>
      </c>
      <c r="E21" s="233" t="s">
        <v>96</v>
      </c>
      <c r="F21" s="233" t="s">
        <v>96</v>
      </c>
      <c r="G21" s="233" t="s">
        <v>96</v>
      </c>
      <c r="H21" s="233" t="s">
        <v>96</v>
      </c>
      <c r="I21" s="235" t="s">
        <v>96</v>
      </c>
      <c r="J21" s="248" t="s">
        <v>97</v>
      </c>
      <c r="K21" s="157" t="s">
        <v>97</v>
      </c>
      <c r="L21" s="157" t="s">
        <v>97</v>
      </c>
      <c r="M21" s="157" t="s">
        <v>97</v>
      </c>
      <c r="N21" s="158" t="s">
        <v>97</v>
      </c>
    </row>
    <row r="22" spans="2:17">
      <c r="B22" s="116"/>
      <c r="C22" s="86">
        <v>2019</v>
      </c>
      <c r="D22" s="87">
        <v>2020</v>
      </c>
      <c r="E22" s="87">
        <v>2021</v>
      </c>
      <c r="F22" s="87">
        <v>2022</v>
      </c>
      <c r="G22" s="87">
        <v>2023</v>
      </c>
      <c r="H22" s="87">
        <v>2024</v>
      </c>
      <c r="I22" s="88">
        <v>2025</v>
      </c>
      <c r="J22" s="86">
        <v>2026</v>
      </c>
      <c r="K22" s="87">
        <v>2027</v>
      </c>
      <c r="L22" s="87">
        <v>2028</v>
      </c>
      <c r="M22" s="87">
        <v>2029</v>
      </c>
      <c r="N22" s="88">
        <v>2030</v>
      </c>
    </row>
    <row r="23" spans="2:17">
      <c r="B23" s="60" t="s">
        <v>15</v>
      </c>
      <c r="C23" s="260"/>
      <c r="D23" s="106">
        <f>'INCOME STATEMENT'!D33</f>
        <v>1884.78</v>
      </c>
      <c r="E23" s="106">
        <f>'INCOME STATEMENT'!E33</f>
        <v>3574.42</v>
      </c>
      <c r="F23" s="106">
        <f>'INCOME STATEMENT'!F33</f>
        <v>5063.3999999999996</v>
      </c>
      <c r="G23" s="106">
        <f>'INCOME STATEMENT'!G33</f>
        <v>7355.1</v>
      </c>
      <c r="H23" s="106">
        <f>'INCOME STATEMENT'!H33</f>
        <v>8305.2999999999993</v>
      </c>
      <c r="I23" s="111">
        <f>'INCOME STATEMENT'!I33</f>
        <v>11221.84</v>
      </c>
      <c r="J23" s="125">
        <f>'INCOME STATEMENT'!J33</f>
        <v>13423.083153449999</v>
      </c>
      <c r="K23" s="106">
        <f>'INCOME STATEMENT'!K33</f>
        <v>16113.333304810953</v>
      </c>
      <c r="L23" s="106">
        <f>'INCOME STATEMENT'!L33</f>
        <v>19148.445523875169</v>
      </c>
      <c r="M23" s="106">
        <f>'INCOME STATEMENT'!M33</f>
        <v>22526.806393483006</v>
      </c>
      <c r="N23" s="111">
        <f>'INCOME STATEMENT'!N33</f>
        <v>26239.584706286718</v>
      </c>
    </row>
    <row r="24" spans="2:17">
      <c r="B24" s="32" t="s">
        <v>136</v>
      </c>
      <c r="C24" s="261"/>
      <c r="D24" s="105">
        <f>'CASH FLOW'!E25</f>
        <v>1051.0500000000004</v>
      </c>
      <c r="E24" s="105">
        <f>'CASH FLOW'!F25</f>
        <v>560.45999999999913</v>
      </c>
      <c r="F24" s="105">
        <f>'CASH FLOW'!G25</f>
        <v>1281.0699999999997</v>
      </c>
      <c r="G24" s="105">
        <f>'CASH FLOW'!H25</f>
        <v>2293</v>
      </c>
      <c r="H24" s="105">
        <f>'CASH FLOW'!I25</f>
        <v>4811.7999999999993</v>
      </c>
      <c r="I24" s="104">
        <f>'CASH FLOW'!J25</f>
        <v>5040.3899999999994</v>
      </c>
      <c r="J24" s="126">
        <f>J25*J23</f>
        <v>5100.7715983110002</v>
      </c>
      <c r="K24" s="105">
        <f t="shared" ref="K24:N24" si="6">K25*K23</f>
        <v>6123.0666558281619</v>
      </c>
      <c r="L24" s="105">
        <f t="shared" si="6"/>
        <v>7276.409299072564</v>
      </c>
      <c r="M24" s="105">
        <f t="shared" si="6"/>
        <v>8560.1864295235428</v>
      </c>
      <c r="N24" s="104">
        <f t="shared" si="6"/>
        <v>9971.0421883889521</v>
      </c>
      <c r="P24" s="25" t="s">
        <v>139</v>
      </c>
    </row>
    <row r="25" spans="2:17" ht="28.8">
      <c r="B25" s="120" t="s">
        <v>137</v>
      </c>
      <c r="C25" s="264"/>
      <c r="D25" s="112">
        <f>D24/D23</f>
        <v>0.55765129086683884</v>
      </c>
      <c r="E25" s="112">
        <f t="shared" ref="E25:I25" si="7">E24/E23</f>
        <v>0.15679746644210785</v>
      </c>
      <c r="F25" s="112">
        <f t="shared" si="7"/>
        <v>0.25300588537346441</v>
      </c>
      <c r="G25" s="112">
        <f t="shared" si="7"/>
        <v>0.31175646830090686</v>
      </c>
      <c r="H25" s="112">
        <f t="shared" si="7"/>
        <v>0.5793649838055217</v>
      </c>
      <c r="I25" s="113">
        <f t="shared" si="7"/>
        <v>0.44915896145373657</v>
      </c>
      <c r="J25" s="265">
        <f>$P$25</f>
        <v>0.38</v>
      </c>
      <c r="K25" s="112">
        <f t="shared" ref="K25:N25" si="8">$P$25</f>
        <v>0.38</v>
      </c>
      <c r="L25" s="112">
        <f t="shared" si="8"/>
        <v>0.38</v>
      </c>
      <c r="M25" s="112">
        <f t="shared" si="8"/>
        <v>0.38</v>
      </c>
      <c r="N25" s="113">
        <f t="shared" si="8"/>
        <v>0.38</v>
      </c>
      <c r="P25" s="96">
        <v>0.38</v>
      </c>
      <c r="Q25" s="92" t="s">
        <v>138</v>
      </c>
    </row>
    <row r="27" spans="2:17">
      <c r="B27" s="60" t="s">
        <v>149</v>
      </c>
      <c r="C27" s="234" t="s">
        <v>96</v>
      </c>
      <c r="D27" s="233" t="s">
        <v>96</v>
      </c>
      <c r="E27" s="233" t="s">
        <v>96</v>
      </c>
      <c r="F27" s="233" t="s">
        <v>96</v>
      </c>
      <c r="G27" s="233" t="s">
        <v>96</v>
      </c>
      <c r="H27" s="233" t="s">
        <v>96</v>
      </c>
      <c r="I27" s="235" t="s">
        <v>96</v>
      </c>
      <c r="J27" s="248" t="s">
        <v>97</v>
      </c>
      <c r="K27" s="157" t="s">
        <v>97</v>
      </c>
      <c r="L27" s="157" t="s">
        <v>97</v>
      </c>
      <c r="M27" s="157" t="s">
        <v>97</v>
      </c>
      <c r="N27" s="158" t="s">
        <v>97</v>
      </c>
    </row>
    <row r="28" spans="2:17">
      <c r="B28" s="116"/>
      <c r="C28" s="86">
        <v>2019</v>
      </c>
      <c r="D28" s="87">
        <v>2020</v>
      </c>
      <c r="E28" s="87">
        <v>2021</v>
      </c>
      <c r="F28" s="87">
        <v>2022</v>
      </c>
      <c r="G28" s="87">
        <v>2023</v>
      </c>
      <c r="H28" s="87">
        <v>2024</v>
      </c>
      <c r="I28" s="88">
        <v>2025</v>
      </c>
      <c r="J28" s="86">
        <v>2026</v>
      </c>
      <c r="K28" s="87">
        <v>2027</v>
      </c>
      <c r="L28" s="87">
        <v>2028</v>
      </c>
      <c r="M28" s="87">
        <v>2029</v>
      </c>
      <c r="N28" s="88">
        <v>2030</v>
      </c>
    </row>
    <row r="29" spans="2:17">
      <c r="B29" s="60" t="s">
        <v>38</v>
      </c>
      <c r="C29" s="125">
        <f>'BALANCE SHEET'!C9</f>
        <v>189.55</v>
      </c>
      <c r="D29" s="106">
        <f>'BALANCE SHEET'!D9</f>
        <v>263.08999999999997</v>
      </c>
      <c r="E29" s="106">
        <f>'BALANCE SHEET'!E9</f>
        <v>242.82</v>
      </c>
      <c r="F29" s="106">
        <f>'BALANCE SHEET'!F9</f>
        <v>469.61</v>
      </c>
      <c r="G29" s="106">
        <f>'BALANCE SHEET'!G9</f>
        <v>414.47</v>
      </c>
      <c r="H29" s="106">
        <f>'BALANCE SHEET'!H9</f>
        <v>552.36</v>
      </c>
      <c r="I29" s="111">
        <f>'BALANCE SHEET'!I9</f>
        <v>847.03</v>
      </c>
      <c r="J29" s="125">
        <f>I29*(1+I30)</f>
        <v>1031.0647617377656</v>
      </c>
      <c r="K29" s="106">
        <f t="shared" ref="K29:N29" si="9">J29*(1+J30)</f>
        <v>1397.0658993301645</v>
      </c>
      <c r="L29" s="106">
        <f t="shared" si="9"/>
        <v>1903.4805752781504</v>
      </c>
      <c r="M29" s="106">
        <f t="shared" si="9"/>
        <v>2493.2452571169911</v>
      </c>
      <c r="N29" s="111">
        <f t="shared" si="9"/>
        <v>3346.5040423605005</v>
      </c>
      <c r="P29" s="25" t="s">
        <v>152</v>
      </c>
    </row>
    <row r="30" spans="2:17" ht="28.8">
      <c r="B30" s="120" t="s">
        <v>150</v>
      </c>
      <c r="C30" s="127"/>
      <c r="D30" s="121"/>
      <c r="E30" s="121"/>
      <c r="F30" s="122">
        <f>((F29/C29)^(1/3) -1)</f>
        <v>0.35312478549252524</v>
      </c>
      <c r="G30" s="122">
        <f t="shared" ref="G30:I30" si="10">((G29/D29)^(1/3) -1)</f>
        <v>0.16358001484523488</v>
      </c>
      <c r="H30" s="122">
        <f t="shared" si="10"/>
        <v>0.31516201035748392</v>
      </c>
      <c r="I30" s="123">
        <f t="shared" si="10"/>
        <v>0.2172706536223814</v>
      </c>
      <c r="J30" s="266">
        <f t="shared" ref="J30" si="11">((J29/G29)^(1/3) -1)</f>
        <v>0.35497395621933325</v>
      </c>
      <c r="K30" s="122">
        <f t="shared" ref="K30" si="12">((K29/H29)^(1/3) -1)</f>
        <v>0.36248445845739341</v>
      </c>
      <c r="L30" s="122">
        <f t="shared" ref="L30" si="13">((L29/I29)^(1/3) -1)</f>
        <v>0.3098348832651785</v>
      </c>
      <c r="M30" s="122">
        <f t="shared" ref="M30" si="14">((M29/J29)^(1/3) -1)</f>
        <v>0.34222817944118189</v>
      </c>
      <c r="N30" s="123">
        <f t="shared" ref="N30" si="15">((N29/K29)^(1/3) -1)</f>
        <v>0.33800628646558994</v>
      </c>
      <c r="P30" s="25" t="s">
        <v>153</v>
      </c>
      <c r="Q30" s="92" t="s">
        <v>151</v>
      </c>
    </row>
    <row r="32" spans="2:17">
      <c r="B32" s="60" t="s">
        <v>154</v>
      </c>
      <c r="C32" s="234" t="s">
        <v>96</v>
      </c>
      <c r="D32" s="233" t="s">
        <v>96</v>
      </c>
      <c r="E32" s="233" t="s">
        <v>96</v>
      </c>
      <c r="F32" s="233" t="s">
        <v>96</v>
      </c>
      <c r="G32" s="233" t="s">
        <v>96</v>
      </c>
      <c r="H32" s="233" t="s">
        <v>96</v>
      </c>
      <c r="I32" s="235" t="s">
        <v>96</v>
      </c>
      <c r="J32" s="248" t="s">
        <v>97</v>
      </c>
      <c r="K32" s="157" t="s">
        <v>97</v>
      </c>
      <c r="L32" s="157" t="s">
        <v>97</v>
      </c>
      <c r="M32" s="157" t="s">
        <v>97</v>
      </c>
      <c r="N32" s="158" t="s">
        <v>97</v>
      </c>
    </row>
    <row r="33" spans="2:17">
      <c r="B33" s="116"/>
      <c r="C33" s="86">
        <v>2019</v>
      </c>
      <c r="D33" s="87">
        <v>2020</v>
      </c>
      <c r="E33" s="87">
        <v>2021</v>
      </c>
      <c r="F33" s="87">
        <v>2022</v>
      </c>
      <c r="G33" s="87">
        <v>2023</v>
      </c>
      <c r="H33" s="87">
        <v>2024</v>
      </c>
      <c r="I33" s="88">
        <v>2025</v>
      </c>
      <c r="J33" s="86">
        <v>2026</v>
      </c>
      <c r="K33" s="87">
        <v>2027</v>
      </c>
      <c r="L33" s="87">
        <v>2028</v>
      </c>
      <c r="M33" s="87">
        <v>2029</v>
      </c>
      <c r="N33" s="88">
        <v>2030</v>
      </c>
    </row>
    <row r="34" spans="2:17">
      <c r="B34" s="32" t="s">
        <v>173</v>
      </c>
      <c r="C34" s="125">
        <f>'BALANCE SHEET'!C14</f>
        <v>9132.4399999999987</v>
      </c>
      <c r="D34" s="106">
        <f>'BALANCE SHEET'!D14</f>
        <v>12121.57</v>
      </c>
      <c r="E34" s="106">
        <f>'BALANCE SHEET'!E14</f>
        <v>13776.76</v>
      </c>
      <c r="F34" s="106">
        <f>'BALANCE SHEET'!F14</f>
        <v>15933.49</v>
      </c>
      <c r="G34" s="106">
        <f>'BALANCE SHEET'!G14</f>
        <v>10800.16</v>
      </c>
      <c r="H34" s="106">
        <f>'BALANCE SHEET'!H14</f>
        <v>32579.670000000002</v>
      </c>
      <c r="I34" s="111">
        <f>'BALANCE SHEET'!I14</f>
        <v>27037.8</v>
      </c>
      <c r="J34" s="125">
        <f>'BALANCE SHEET'!J14</f>
        <v>27287.850534451056</v>
      </c>
      <c r="K34" s="106">
        <f>'BALANCE SHEET'!K14</f>
        <v>27902.059750781526</v>
      </c>
      <c r="L34" s="106">
        <f>'BALANCE SHEET'!L14</f>
        <v>28697.059122845949</v>
      </c>
      <c r="M34" s="106">
        <f>'BALANCE SHEET'!M14</f>
        <v>29715.416468219446</v>
      </c>
      <c r="N34" s="111">
        <f>'BALANCE SHEET'!N14</f>
        <v>31077.875528956385</v>
      </c>
    </row>
    <row r="35" spans="2:17">
      <c r="B35" s="32" t="s">
        <v>155</v>
      </c>
      <c r="C35" s="126">
        <f>'BALANCE SHEET'!C12</f>
        <v>8942.89</v>
      </c>
      <c r="D35" s="105">
        <f>'BALANCE SHEET'!D12</f>
        <v>11858.48</v>
      </c>
      <c r="E35" s="105">
        <f>'BALANCE SHEET'!E12</f>
        <v>13533.94</v>
      </c>
      <c r="F35" s="105">
        <f>'BALANCE SHEET'!F12</f>
        <v>15463.88</v>
      </c>
      <c r="G35" s="105">
        <f>'BALANCE SHEET'!G12</f>
        <v>10385.69</v>
      </c>
      <c r="H35" s="105">
        <f>'BALANCE SHEET'!H12</f>
        <v>32027.31</v>
      </c>
      <c r="I35" s="104">
        <f>'BALANCE SHEET'!I12</f>
        <v>26190.77</v>
      </c>
      <c r="J35" s="126">
        <f>I37*I34</f>
        <v>26256.78577271329</v>
      </c>
      <c r="K35" s="105">
        <f t="shared" ref="K35:N35" si="16">J37*J34</f>
        <v>26504.99385145136</v>
      </c>
      <c r="L35" s="105">
        <f t="shared" si="16"/>
        <v>26793.578547567799</v>
      </c>
      <c r="M35" s="105">
        <f t="shared" si="16"/>
        <v>27222.171211102454</v>
      </c>
      <c r="N35" s="104">
        <f t="shared" si="16"/>
        <v>27731.371486595886</v>
      </c>
      <c r="P35" s="25" t="s">
        <v>174</v>
      </c>
      <c r="Q35" s="92"/>
    </row>
    <row r="36" spans="2:17">
      <c r="B36" s="32" t="s">
        <v>156</v>
      </c>
      <c r="C36" s="18">
        <f>C35/C34</f>
        <v>0.97924432024738195</v>
      </c>
      <c r="D36" s="4">
        <f t="shared" ref="D36:N36" si="17">D35/D34</f>
        <v>0.97829571581899044</v>
      </c>
      <c r="E36" s="4">
        <f t="shared" si="17"/>
        <v>0.98237466574143706</v>
      </c>
      <c r="F36" s="4">
        <f t="shared" si="17"/>
        <v>0.97052685883632517</v>
      </c>
      <c r="G36" s="4">
        <f t="shared" si="17"/>
        <v>0.96162371668567881</v>
      </c>
      <c r="H36" s="4">
        <f t="shared" si="17"/>
        <v>0.98304586878872624</v>
      </c>
      <c r="I36" s="8">
        <f t="shared" si="17"/>
        <v>0.96867237719045196</v>
      </c>
      <c r="J36" s="18">
        <f t="shared" si="17"/>
        <v>0.96221524445701423</v>
      </c>
      <c r="K36" s="4">
        <f t="shared" si="17"/>
        <v>0.9499296499323483</v>
      </c>
      <c r="L36" s="4">
        <f t="shared" si="17"/>
        <v>0.93366983818342641</v>
      </c>
      <c r="M36" s="4">
        <f t="shared" si="17"/>
        <v>0.91609590059814539</v>
      </c>
      <c r="N36" s="8">
        <f t="shared" si="17"/>
        <v>0.89231876422046807</v>
      </c>
    </row>
    <row r="37" spans="2:17" ht="28.8">
      <c r="B37" s="120" t="s">
        <v>162</v>
      </c>
      <c r="C37" s="127"/>
      <c r="D37" s="121"/>
      <c r="E37" s="122">
        <f>SUM(C36:E36)/3</f>
        <v>0.97997156726926982</v>
      </c>
      <c r="F37" s="122">
        <f>SUM(D36:F36)/3</f>
        <v>0.97706574679891756</v>
      </c>
      <c r="G37" s="122">
        <f t="shared" ref="G37:N37" si="18">SUM(E36:G36)/3</f>
        <v>0.97150841375448038</v>
      </c>
      <c r="H37" s="122">
        <f t="shared" si="18"/>
        <v>0.97173214810357678</v>
      </c>
      <c r="I37" s="123">
        <f t="shared" si="18"/>
        <v>0.97111398755495237</v>
      </c>
      <c r="J37" s="266">
        <f t="shared" si="18"/>
        <v>0.9713111634787307</v>
      </c>
      <c r="K37" s="122">
        <f t="shared" si="18"/>
        <v>0.96027242385993816</v>
      </c>
      <c r="L37" s="122">
        <f t="shared" si="18"/>
        <v>0.94860491085759635</v>
      </c>
      <c r="M37" s="122">
        <f t="shared" si="18"/>
        <v>0.93323179623797337</v>
      </c>
      <c r="N37" s="123">
        <f t="shared" si="18"/>
        <v>0.91402816766734662</v>
      </c>
      <c r="P37" s="25" t="s">
        <v>175</v>
      </c>
      <c r="Q37" s="92" t="s">
        <v>176</v>
      </c>
    </row>
    <row r="39" spans="2:17">
      <c r="B39" s="60" t="s">
        <v>159</v>
      </c>
      <c r="C39" s="234" t="s">
        <v>96</v>
      </c>
      <c r="D39" s="233" t="s">
        <v>96</v>
      </c>
      <c r="E39" s="233" t="s">
        <v>96</v>
      </c>
      <c r="F39" s="233" t="s">
        <v>96</v>
      </c>
      <c r="G39" s="233" t="s">
        <v>96</v>
      </c>
      <c r="H39" s="233" t="s">
        <v>96</v>
      </c>
      <c r="I39" s="235" t="s">
        <v>96</v>
      </c>
      <c r="J39" s="248" t="s">
        <v>97</v>
      </c>
      <c r="K39" s="157" t="s">
        <v>97</v>
      </c>
      <c r="L39" s="157" t="s">
        <v>97</v>
      </c>
      <c r="M39" s="157" t="s">
        <v>97</v>
      </c>
      <c r="N39" s="158" t="s">
        <v>97</v>
      </c>
    </row>
    <row r="40" spans="2:17">
      <c r="B40" s="116"/>
      <c r="C40" s="86">
        <v>2019</v>
      </c>
      <c r="D40" s="1">
        <v>2020</v>
      </c>
      <c r="E40" s="1">
        <v>2021</v>
      </c>
      <c r="F40" s="1">
        <v>2022</v>
      </c>
      <c r="G40" s="1">
        <v>2023</v>
      </c>
      <c r="H40" s="1">
        <v>2024</v>
      </c>
      <c r="I40" s="88">
        <v>2025</v>
      </c>
      <c r="J40" s="86">
        <v>2026</v>
      </c>
      <c r="K40" s="1">
        <v>2027</v>
      </c>
      <c r="L40" s="1">
        <v>2028</v>
      </c>
      <c r="M40" s="1">
        <v>2029</v>
      </c>
      <c r="N40" s="88">
        <v>2030</v>
      </c>
    </row>
    <row r="41" spans="2:17">
      <c r="B41" s="32" t="s">
        <v>173</v>
      </c>
      <c r="C41" s="126">
        <f>'BALANCE SHEET'!C14</f>
        <v>9132.4399999999987</v>
      </c>
      <c r="D41" s="106">
        <f>'BALANCE SHEET'!D14</f>
        <v>12121.57</v>
      </c>
      <c r="E41" s="106">
        <f>'BALANCE SHEET'!E14</f>
        <v>13776.76</v>
      </c>
      <c r="F41" s="106">
        <f>'BALANCE SHEET'!F14</f>
        <v>15933.49</v>
      </c>
      <c r="G41" s="106">
        <f>'BALANCE SHEET'!G14</f>
        <v>10800.16</v>
      </c>
      <c r="H41" s="106">
        <f>'BALANCE SHEET'!H14</f>
        <v>32579.670000000002</v>
      </c>
      <c r="I41" s="104">
        <f>'BALANCE SHEET'!I14</f>
        <v>27037.8</v>
      </c>
      <c r="J41" s="126">
        <f>'BALANCE SHEET'!J14</f>
        <v>27287.850534451056</v>
      </c>
      <c r="K41" s="106">
        <f>'BALANCE SHEET'!K14</f>
        <v>27902.059750781526</v>
      </c>
      <c r="L41" s="106">
        <f>'BALANCE SHEET'!L14</f>
        <v>28697.059122845949</v>
      </c>
      <c r="M41" s="106">
        <f>'BALANCE SHEET'!M14</f>
        <v>29715.416468219446</v>
      </c>
      <c r="N41" s="104">
        <f>'BALANCE SHEET'!N14</f>
        <v>31077.875528956385</v>
      </c>
    </row>
    <row r="42" spans="2:17">
      <c r="B42" s="32" t="s">
        <v>42</v>
      </c>
      <c r="C42" s="126">
        <f>'BALANCE SHEET'!C16</f>
        <v>3057.68</v>
      </c>
      <c r="D42" s="105">
        <f>'BALANCE SHEET'!D16</f>
        <v>3426.77</v>
      </c>
      <c r="E42" s="105">
        <f>'BALANCE SHEET'!E16</f>
        <v>3792.93</v>
      </c>
      <c r="F42" s="105">
        <f>'BALANCE SHEET'!F16</f>
        <v>4255.2299999999996</v>
      </c>
      <c r="G42" s="105">
        <f>'BALANCE SHEET'!G16</f>
        <v>5283.8</v>
      </c>
      <c r="H42" s="105">
        <f>'BALANCE SHEET'!H16</f>
        <v>8910.4500000000007</v>
      </c>
      <c r="I42" s="104">
        <f>'BALANCE SHEET'!I16</f>
        <v>12075.51</v>
      </c>
      <c r="J42" s="126">
        <f>J44*J41</f>
        <v>11000.15630463072</v>
      </c>
      <c r="K42" s="105">
        <f t="shared" ref="K42" si="19">K44*K41</f>
        <v>10446.797387344322</v>
      </c>
      <c r="L42" s="105">
        <f t="shared" ref="L42" si="20">L44*L41</f>
        <v>11709.748109809307</v>
      </c>
      <c r="M42" s="105">
        <f t="shared" ref="M42" si="21">M44*M41</f>
        <v>11743.25567204857</v>
      </c>
      <c r="N42" s="104">
        <f t="shared" ref="N42" si="22">N44*N41</f>
        <v>12199.590983111091</v>
      </c>
      <c r="P42" s="25" t="s">
        <v>157</v>
      </c>
    </row>
    <row r="43" spans="2:17">
      <c r="B43" s="32" t="s">
        <v>156</v>
      </c>
      <c r="C43" s="18">
        <f>C42/C41</f>
        <v>0.3348152301027984</v>
      </c>
      <c r="D43" s="4">
        <f t="shared" ref="D43" si="23">D42/D41</f>
        <v>0.28270017827723637</v>
      </c>
      <c r="E43" s="4">
        <f t="shared" ref="E43" si="24">E42/E41</f>
        <v>0.27531364413693782</v>
      </c>
      <c r="F43" s="4">
        <f t="shared" ref="F43" si="25">F42/F41</f>
        <v>0.26706201842785227</v>
      </c>
      <c r="G43" s="4">
        <f t="shared" ref="G43" si="26">G42/G41</f>
        <v>0.48923349283714318</v>
      </c>
      <c r="H43" s="4">
        <f t="shared" ref="H43" si="27">H42/H41</f>
        <v>0.27349724536804704</v>
      </c>
      <c r="I43" s="8">
        <f t="shared" ref="I43" si="28">I42/I41</f>
        <v>0.44661584892261946</v>
      </c>
      <c r="J43" s="18">
        <f t="shared" ref="J43" si="29">J42/J41</f>
        <v>0.40311552904260323</v>
      </c>
      <c r="K43" s="4">
        <f t="shared" ref="K43" si="30">K42/K41</f>
        <v>0.37440954111108993</v>
      </c>
      <c r="L43" s="4">
        <f t="shared" ref="L43" si="31">L42/L41</f>
        <v>0.40804697302543752</v>
      </c>
      <c r="M43" s="4">
        <f t="shared" ref="M43" si="32">M42/M41</f>
        <v>0.39519068105971017</v>
      </c>
      <c r="N43" s="8">
        <f t="shared" ref="N43" si="33">N42/N41</f>
        <v>0.39254906506541248</v>
      </c>
    </row>
    <row r="44" spans="2:17" ht="28.8">
      <c r="B44" s="120" t="s">
        <v>162</v>
      </c>
      <c r="C44" s="127"/>
      <c r="D44" s="121"/>
      <c r="E44" s="121"/>
      <c r="F44" s="122">
        <f>SUM(C43:E43)/3</f>
        <v>0.2976096841723242</v>
      </c>
      <c r="G44" s="122">
        <f t="shared" ref="G44:N44" si="34">SUM(D43:F43)/3</f>
        <v>0.27502528028067547</v>
      </c>
      <c r="H44" s="122">
        <f t="shared" si="34"/>
        <v>0.34386971846731113</v>
      </c>
      <c r="I44" s="123">
        <f t="shared" si="34"/>
        <v>0.34326425221101414</v>
      </c>
      <c r="J44" s="266">
        <f t="shared" si="34"/>
        <v>0.40311552904260323</v>
      </c>
      <c r="K44" s="122">
        <f t="shared" si="34"/>
        <v>0.37440954111108993</v>
      </c>
      <c r="L44" s="122">
        <f t="shared" si="34"/>
        <v>0.40804697302543752</v>
      </c>
      <c r="M44" s="122">
        <f t="shared" si="34"/>
        <v>0.39519068105971017</v>
      </c>
      <c r="N44" s="123">
        <f t="shared" si="34"/>
        <v>0.39254906506541248</v>
      </c>
      <c r="P44" s="25" t="s">
        <v>158</v>
      </c>
      <c r="Q44" s="92" t="s">
        <v>177</v>
      </c>
    </row>
    <row r="46" spans="2:17">
      <c r="B46" s="33" t="s">
        <v>160</v>
      </c>
      <c r="C46" s="234" t="s">
        <v>96</v>
      </c>
      <c r="D46" s="233" t="s">
        <v>96</v>
      </c>
      <c r="E46" s="233" t="s">
        <v>96</v>
      </c>
      <c r="F46" s="233" t="s">
        <v>96</v>
      </c>
      <c r="G46" s="233" t="s">
        <v>96</v>
      </c>
      <c r="H46" s="233" t="s">
        <v>96</v>
      </c>
      <c r="I46" s="235" t="s">
        <v>96</v>
      </c>
      <c r="J46" s="248" t="s">
        <v>97</v>
      </c>
      <c r="K46" s="157" t="s">
        <v>97</v>
      </c>
      <c r="L46" s="157" t="s">
        <v>97</v>
      </c>
      <c r="M46" s="157" t="s">
        <v>97</v>
      </c>
      <c r="N46" s="158" t="s">
        <v>97</v>
      </c>
    </row>
    <row r="47" spans="2:17">
      <c r="B47" s="33"/>
      <c r="C47" s="33">
        <v>2019</v>
      </c>
      <c r="D47" s="1">
        <v>2020</v>
      </c>
      <c r="E47" s="1">
        <v>2021</v>
      </c>
      <c r="F47" s="1">
        <v>2022</v>
      </c>
      <c r="G47" s="1">
        <v>2023</v>
      </c>
      <c r="H47" s="1">
        <v>2024</v>
      </c>
      <c r="I47" s="26">
        <v>2025</v>
      </c>
      <c r="J47" s="33">
        <v>2026</v>
      </c>
      <c r="K47" s="1">
        <v>2027</v>
      </c>
      <c r="L47" s="1">
        <v>2028</v>
      </c>
      <c r="M47" s="1">
        <v>2029</v>
      </c>
      <c r="N47" s="26">
        <v>2030</v>
      </c>
    </row>
    <row r="48" spans="2:17">
      <c r="B48" s="33" t="s">
        <v>44</v>
      </c>
      <c r="C48" s="125">
        <f>'BALANCE SHEET'!C20</f>
        <v>645.75</v>
      </c>
      <c r="D48" s="106">
        <f>'BALANCE SHEET'!D20</f>
        <v>631.80999999999995</v>
      </c>
      <c r="E48" s="106">
        <f>'BALANCE SHEET'!E20</f>
        <v>795.82</v>
      </c>
      <c r="F48" s="106">
        <f>'BALANCE SHEET'!F20</f>
        <v>1144.18</v>
      </c>
      <c r="G48" s="106">
        <f>'BALANCE SHEET'!G20</f>
        <v>1060.7</v>
      </c>
      <c r="H48" s="106">
        <f>'BALANCE SHEET'!H20</f>
        <v>1098.6400000000001</v>
      </c>
      <c r="I48" s="111">
        <f>'BALANCE SHEET'!I20</f>
        <v>1655.13</v>
      </c>
      <c r="J48" s="125">
        <f>'BALANCE SHEET'!J20</f>
        <v>2078.7680235999997</v>
      </c>
      <c r="K48" s="106">
        <f>'BALANCE SHEET'!K20</f>
        <v>2551.7225295139997</v>
      </c>
      <c r="L48" s="106">
        <f>'BALANCE SHEET'!L20</f>
        <v>3077.2126801427398</v>
      </c>
      <c r="M48" s="106">
        <f>'BALANCE SHEET'!M20</f>
        <v>3654.9382476497749</v>
      </c>
      <c r="N48" s="111">
        <f>'BALANCE SHEET'!N20</f>
        <v>4280.9952406726097</v>
      </c>
    </row>
    <row r="49" spans="2:17">
      <c r="B49" s="34" t="s">
        <v>45</v>
      </c>
      <c r="C49" s="126">
        <f>'BALANCE SHEET'!C21</f>
        <v>5958.6</v>
      </c>
      <c r="D49" s="105">
        <f>'BALANCE SHEET'!D21</f>
        <v>5372.7</v>
      </c>
      <c r="E49" s="105">
        <f>'BALANCE SHEET'!E21</f>
        <v>7984.79</v>
      </c>
      <c r="F49" s="105">
        <f>'BALANCE SHEET'!F21</f>
        <v>8074.19</v>
      </c>
      <c r="G49" s="105">
        <f>'BALANCE SHEET'!G21</f>
        <v>12538.66</v>
      </c>
      <c r="H49" s="105">
        <f>'BALANCE SHEET'!H21</f>
        <v>20970.169999999998</v>
      </c>
      <c r="I49" s="104">
        <f>'BALANCE SHEET'!I21</f>
        <v>20588.79</v>
      </c>
      <c r="J49" s="126">
        <f>I52*I50</f>
        <v>20744.77624815992</v>
      </c>
      <c r="K49" s="105">
        <f>J52*J50</f>
        <v>21185.797817856259</v>
      </c>
      <c r="L49" s="105">
        <f t="shared" ref="L49:N49" si="35">K52*K50</f>
        <v>21577.519817820055</v>
      </c>
      <c r="M49" s="105">
        <f t="shared" si="35"/>
        <v>21997.037238482833</v>
      </c>
      <c r="N49" s="104">
        <f t="shared" si="35"/>
        <v>22447.261947675252</v>
      </c>
      <c r="P49" s="25" t="s">
        <v>165</v>
      </c>
    </row>
    <row r="50" spans="2:17">
      <c r="B50" s="34" t="s">
        <v>46</v>
      </c>
      <c r="C50" s="126">
        <f>'BALANCE SHEET'!C22</f>
        <v>6604.35</v>
      </c>
      <c r="D50" s="105">
        <f>'BALANCE SHEET'!D22</f>
        <v>6004.51</v>
      </c>
      <c r="E50" s="105">
        <f>'BALANCE SHEET'!E22</f>
        <v>8780.61</v>
      </c>
      <c r="F50" s="105">
        <f>'BALANCE SHEET'!F22</f>
        <v>9218.369999999999</v>
      </c>
      <c r="G50" s="105">
        <f>'BALANCE SHEET'!G22</f>
        <v>13599.36</v>
      </c>
      <c r="H50" s="105">
        <f>'BALANCE SHEET'!H22</f>
        <v>22068.809999999998</v>
      </c>
      <c r="I50" s="104">
        <f>'BALANCE SHEET'!I22</f>
        <v>22243.920000000002</v>
      </c>
      <c r="J50" s="126">
        <f>'BALANCE SHEET'!J22</f>
        <v>22823.544271759922</v>
      </c>
      <c r="K50" s="105">
        <f>'BALANCE SHEET'!K22</f>
        <v>23737.520347370257</v>
      </c>
      <c r="L50" s="105">
        <f>'BALANCE SHEET'!L22</f>
        <v>24654.732497962796</v>
      </c>
      <c r="M50" s="105">
        <f>'BALANCE SHEET'!M22</f>
        <v>25651.975486132607</v>
      </c>
      <c r="N50" s="104">
        <f>'BALANCE SHEET'!N22</f>
        <v>26728.257188347859</v>
      </c>
    </row>
    <row r="51" spans="2:17">
      <c r="B51" s="34" t="s">
        <v>161</v>
      </c>
      <c r="C51" s="18">
        <f>C49/C50</f>
        <v>0.90222353448863246</v>
      </c>
      <c r="D51" s="4">
        <f t="shared" ref="D51:N51" si="36">D49/D50</f>
        <v>0.89477742563506424</v>
      </c>
      <c r="E51" s="4">
        <f t="shared" si="36"/>
        <v>0.90936620576474747</v>
      </c>
      <c r="F51" s="4">
        <f t="shared" si="36"/>
        <v>0.875880443071823</v>
      </c>
      <c r="G51" s="4">
        <f t="shared" si="36"/>
        <v>0.92200368252623643</v>
      </c>
      <c r="H51" s="4">
        <f t="shared" si="36"/>
        <v>0.95021752418911576</v>
      </c>
      <c r="I51" s="8">
        <f t="shared" si="36"/>
        <v>0.92559180216436665</v>
      </c>
      <c r="J51" s="18">
        <f>J49/J50</f>
        <v>0.90892001702942748</v>
      </c>
      <c r="K51" s="4">
        <f t="shared" si="36"/>
        <v>0.89250256588840848</v>
      </c>
      <c r="L51" s="4">
        <f t="shared" si="36"/>
        <v>0.87518774821844003</v>
      </c>
      <c r="M51" s="4">
        <f t="shared" si="36"/>
        <v>0.85751825431044781</v>
      </c>
      <c r="N51" s="8">
        <f t="shared" si="36"/>
        <v>0.83983260822037809</v>
      </c>
    </row>
    <row r="52" spans="2:17" ht="28.8">
      <c r="B52" s="35" t="s">
        <v>162</v>
      </c>
      <c r="C52" s="130"/>
      <c r="D52" s="129"/>
      <c r="E52" s="122">
        <f>SUM(C51:E51)/3</f>
        <v>0.90212238862948135</v>
      </c>
      <c r="F52" s="122">
        <f>SUM(D51:F51)/3</f>
        <v>0.8933413581572115</v>
      </c>
      <c r="G52" s="122">
        <f t="shared" ref="G52:N52" si="37">SUM(E51:G51)/3</f>
        <v>0.90241677712093571</v>
      </c>
      <c r="H52" s="122">
        <f t="shared" si="37"/>
        <v>0.91603388326239177</v>
      </c>
      <c r="I52" s="123">
        <f t="shared" si="37"/>
        <v>0.93260433629323958</v>
      </c>
      <c r="J52" s="266">
        <f>SUM(H51:J51)/3</f>
        <v>0.92824311446096985</v>
      </c>
      <c r="K52" s="122">
        <f>SUM(I51:K51)/3</f>
        <v>0.90900479502740084</v>
      </c>
      <c r="L52" s="122">
        <f t="shared" si="37"/>
        <v>0.89220344371209193</v>
      </c>
      <c r="M52" s="122">
        <f t="shared" si="37"/>
        <v>0.87506952280576533</v>
      </c>
      <c r="N52" s="123">
        <f t="shared" si="37"/>
        <v>0.85751287024975531</v>
      </c>
      <c r="P52" s="25" t="s">
        <v>164</v>
      </c>
      <c r="Q52" s="92" t="s">
        <v>163</v>
      </c>
    </row>
    <row r="54" spans="2:17">
      <c r="B54" s="33" t="s">
        <v>166</v>
      </c>
      <c r="C54" s="234" t="s">
        <v>96</v>
      </c>
      <c r="D54" s="233" t="s">
        <v>96</v>
      </c>
      <c r="E54" s="233" t="s">
        <v>96</v>
      </c>
      <c r="F54" s="233" t="s">
        <v>96</v>
      </c>
      <c r="G54" s="233" t="s">
        <v>96</v>
      </c>
      <c r="H54" s="233" t="s">
        <v>96</v>
      </c>
      <c r="I54" s="235" t="s">
        <v>96</v>
      </c>
      <c r="J54" s="248" t="s">
        <v>97</v>
      </c>
      <c r="K54" s="157" t="s">
        <v>97</v>
      </c>
      <c r="L54" s="157" t="s">
        <v>97</v>
      </c>
      <c r="M54" s="157" t="s">
        <v>97</v>
      </c>
      <c r="N54" s="158" t="s">
        <v>97</v>
      </c>
    </row>
    <row r="55" spans="2:17">
      <c r="B55" s="33"/>
      <c r="C55" s="33">
        <v>2019</v>
      </c>
      <c r="D55" s="1">
        <v>2020</v>
      </c>
      <c r="E55" s="1">
        <v>2021</v>
      </c>
      <c r="F55" s="1">
        <v>2022</v>
      </c>
      <c r="G55" s="1">
        <v>2023</v>
      </c>
      <c r="H55" s="1">
        <v>2024</v>
      </c>
      <c r="I55" s="26">
        <v>2025</v>
      </c>
      <c r="J55" s="33">
        <v>2026</v>
      </c>
      <c r="K55" s="1">
        <v>2027</v>
      </c>
      <c r="L55" s="1">
        <v>2028</v>
      </c>
      <c r="M55" s="1">
        <v>2029</v>
      </c>
      <c r="N55" s="26">
        <v>2030</v>
      </c>
    </row>
    <row r="56" spans="2:17" ht="28.8">
      <c r="B56" s="33" t="s">
        <v>47</v>
      </c>
      <c r="C56" s="125">
        <f>'BALANCE SHEET'!C24</f>
        <v>452.51</v>
      </c>
      <c r="D56" s="106">
        <f>'BALANCE SHEET'!D24</f>
        <v>652.11</v>
      </c>
      <c r="E56" s="106">
        <f>'BALANCE SHEET'!E24</f>
        <v>998.58</v>
      </c>
      <c r="F56" s="106">
        <f>'BALANCE SHEET'!F24</f>
        <v>1614.95</v>
      </c>
      <c r="G56" s="106">
        <f>'BALANCE SHEET'!G24</f>
        <v>1589.21</v>
      </c>
      <c r="H56" s="106">
        <f>'BALANCE SHEET'!H24</f>
        <v>1864.66</v>
      </c>
      <c r="I56" s="111">
        <f>'BALANCE SHEET'!I24</f>
        <v>1512.21</v>
      </c>
      <c r="J56" s="125">
        <f>J57*I59/365</f>
        <v>2386.5907397260276</v>
      </c>
      <c r="K56" s="106">
        <f t="shared" ref="K56:N56" si="38">K57*J59/365</f>
        <v>2716.1675561643842</v>
      </c>
      <c r="L56" s="106">
        <f t="shared" si="38"/>
        <v>3044.8238304602742</v>
      </c>
      <c r="M56" s="106">
        <f t="shared" si="38"/>
        <v>3733.9155394591785</v>
      </c>
      <c r="N56" s="111">
        <f t="shared" si="38"/>
        <v>4186.6527986186029</v>
      </c>
      <c r="P56" s="25" t="s">
        <v>170</v>
      </c>
      <c r="Q56" s="92" t="s">
        <v>169</v>
      </c>
    </row>
    <row r="57" spans="2:17">
      <c r="B57" s="34" t="s">
        <v>3</v>
      </c>
      <c r="C57" s="126">
        <f>'INCOME STATEMENT'!C4</f>
        <v>2997.42</v>
      </c>
      <c r="D57" s="105">
        <f>'INCOME STATEMENT'!D4</f>
        <v>3507.93</v>
      </c>
      <c r="E57" s="105">
        <f>'INCOME STATEMENT'!E4</f>
        <v>5624.82</v>
      </c>
      <c r="F57" s="105">
        <f>'INCOME STATEMENT'!F4</f>
        <v>8929</v>
      </c>
      <c r="G57" s="105">
        <f>'INCOME STATEMENT'!G4</f>
        <v>11856</v>
      </c>
      <c r="H57" s="105">
        <f>'INCOME STATEMENT'!H4</f>
        <v>14780</v>
      </c>
      <c r="I57" s="104">
        <f>'INCOME STATEMENT'!I4</f>
        <v>17141</v>
      </c>
      <c r="J57" s="126">
        <f>'INCOME STATEMENT'!J4</f>
        <v>20740.61</v>
      </c>
      <c r="K57" s="105">
        <f>'INCOME STATEMENT'!K4</f>
        <v>24785.028950000004</v>
      </c>
      <c r="L57" s="105">
        <f>'INCOME STATEMENT'!L4</f>
        <v>29246.334161000002</v>
      </c>
      <c r="M57" s="105">
        <f>'INCOME STATEMENT'!M4</f>
        <v>34071.979297565005</v>
      </c>
      <c r="N57" s="104">
        <f>'INCOME STATEMENT'!N4</f>
        <v>39182.776192199752</v>
      </c>
    </row>
    <row r="58" spans="2:17">
      <c r="B58" s="34" t="s">
        <v>167</v>
      </c>
      <c r="C58" s="34">
        <f>ROUND(C56*365/C57,0)</f>
        <v>55</v>
      </c>
      <c r="D58">
        <f t="shared" ref="D58:I58" si="39">ROUND(D56*365/D57,0)</f>
        <v>68</v>
      </c>
      <c r="E58">
        <f t="shared" si="39"/>
        <v>65</v>
      </c>
      <c r="F58">
        <f t="shared" si="39"/>
        <v>66</v>
      </c>
      <c r="G58">
        <f t="shared" si="39"/>
        <v>49</v>
      </c>
      <c r="H58">
        <f t="shared" si="39"/>
        <v>46</v>
      </c>
      <c r="I58" s="25">
        <f t="shared" si="39"/>
        <v>32</v>
      </c>
      <c r="J58" s="34">
        <f t="shared" ref="J58" si="40">ROUND(J56*365/J57,0)</f>
        <v>42</v>
      </c>
      <c r="K58">
        <f t="shared" ref="K58" si="41">ROUND(K56*365/K57,0)</f>
        <v>40</v>
      </c>
      <c r="L58">
        <f t="shared" ref="L58" si="42">ROUND(L56*365/L57,0)</f>
        <v>38</v>
      </c>
      <c r="M58">
        <f t="shared" ref="M58" si="43">ROUND(M56*365/M57,0)</f>
        <v>40</v>
      </c>
      <c r="N58" s="25">
        <f t="shared" ref="N58" si="44">ROUND(N56*365/N57,0)</f>
        <v>39</v>
      </c>
      <c r="P58" s="25" t="s">
        <v>171</v>
      </c>
    </row>
    <row r="59" spans="2:17">
      <c r="B59" s="35" t="s">
        <v>168</v>
      </c>
      <c r="C59" s="130"/>
      <c r="D59" s="129"/>
      <c r="E59" s="36">
        <f>ROUND(AVERAGE(C58:E58),0)</f>
        <v>63</v>
      </c>
      <c r="F59" s="36">
        <f t="shared" ref="F59:N59" si="45">ROUND(AVERAGE(D58:F58),0)</f>
        <v>66</v>
      </c>
      <c r="G59" s="36">
        <f t="shared" si="45"/>
        <v>60</v>
      </c>
      <c r="H59" s="36">
        <f t="shared" si="45"/>
        <v>54</v>
      </c>
      <c r="I59" s="37">
        <f t="shared" si="45"/>
        <v>42</v>
      </c>
      <c r="J59" s="35">
        <f t="shared" si="45"/>
        <v>40</v>
      </c>
      <c r="K59" s="36">
        <f t="shared" si="45"/>
        <v>38</v>
      </c>
      <c r="L59" s="36">
        <f t="shared" si="45"/>
        <v>40</v>
      </c>
      <c r="M59" s="36">
        <f t="shared" si="45"/>
        <v>39</v>
      </c>
      <c r="N59" s="37">
        <f t="shared" si="45"/>
        <v>39</v>
      </c>
      <c r="P59" s="25" t="s">
        <v>172</v>
      </c>
    </row>
    <row r="61" spans="2:17">
      <c r="B61" s="33" t="s">
        <v>160</v>
      </c>
      <c r="C61" s="234" t="s">
        <v>96</v>
      </c>
      <c r="D61" s="233" t="s">
        <v>96</v>
      </c>
      <c r="E61" s="233" t="s">
        <v>96</v>
      </c>
      <c r="F61" s="233" t="s">
        <v>96</v>
      </c>
      <c r="G61" s="233" t="s">
        <v>96</v>
      </c>
      <c r="H61" s="233" t="s">
        <v>96</v>
      </c>
      <c r="I61" s="235" t="s">
        <v>96</v>
      </c>
      <c r="J61" s="248" t="s">
        <v>97</v>
      </c>
      <c r="K61" s="157" t="s">
        <v>97</v>
      </c>
      <c r="L61" s="157" t="s">
        <v>97</v>
      </c>
      <c r="M61" s="157" t="s">
        <v>97</v>
      </c>
      <c r="N61" s="158" t="s">
        <v>97</v>
      </c>
    </row>
    <row r="62" spans="2:17">
      <c r="B62" s="33"/>
      <c r="C62" s="33">
        <v>2019</v>
      </c>
      <c r="D62" s="1">
        <v>2020</v>
      </c>
      <c r="E62" s="1">
        <v>2021</v>
      </c>
      <c r="F62" s="1">
        <v>2022</v>
      </c>
      <c r="G62" s="1">
        <v>2023</v>
      </c>
      <c r="H62" s="1">
        <v>2024</v>
      </c>
      <c r="I62" s="26">
        <v>2025</v>
      </c>
      <c r="J62" s="33">
        <v>2026</v>
      </c>
      <c r="K62" s="1">
        <v>2027</v>
      </c>
      <c r="L62" s="1">
        <v>2028</v>
      </c>
      <c r="M62" s="1">
        <v>2029</v>
      </c>
      <c r="N62" s="26">
        <v>2030</v>
      </c>
    </row>
    <row r="63" spans="2:17">
      <c r="B63" s="33" t="s">
        <v>3</v>
      </c>
      <c r="C63" s="125">
        <f>'INCOME STATEMENT'!C4</f>
        <v>2997.42</v>
      </c>
      <c r="D63" s="106">
        <f>'INCOME STATEMENT'!D4</f>
        <v>3507.93</v>
      </c>
      <c r="E63" s="106">
        <f>'INCOME STATEMENT'!E4</f>
        <v>5624.82</v>
      </c>
      <c r="F63" s="106">
        <f>'INCOME STATEMENT'!F4</f>
        <v>8929</v>
      </c>
      <c r="G63" s="106">
        <f>'INCOME STATEMENT'!G4</f>
        <v>11856</v>
      </c>
      <c r="H63" s="106">
        <f>'INCOME STATEMENT'!H4</f>
        <v>14780</v>
      </c>
      <c r="I63" s="111">
        <f>'INCOME STATEMENT'!I4</f>
        <v>17141</v>
      </c>
      <c r="J63" s="125">
        <f>'INCOME STATEMENT'!J4</f>
        <v>20740.61</v>
      </c>
      <c r="K63" s="106">
        <f>'INCOME STATEMENT'!K4</f>
        <v>24785.028950000004</v>
      </c>
      <c r="L63" s="106">
        <f>'INCOME STATEMENT'!L4</f>
        <v>29246.334161000002</v>
      </c>
      <c r="M63" s="106">
        <f>'INCOME STATEMENT'!M4</f>
        <v>34071.979297565005</v>
      </c>
      <c r="N63" s="111">
        <f>'INCOME STATEMENT'!N4</f>
        <v>39182.776192199752</v>
      </c>
    </row>
    <row r="64" spans="2:17" ht="28.8">
      <c r="B64" s="34" t="s">
        <v>49</v>
      </c>
      <c r="C64" s="126">
        <f>'BALANCE SHEET'!C26</f>
        <v>3380.84</v>
      </c>
      <c r="D64" s="105">
        <f>'BALANCE SHEET'!D26</f>
        <v>7835.81</v>
      </c>
      <c r="E64" s="105">
        <f>'BALANCE SHEET'!E26</f>
        <v>5968.9</v>
      </c>
      <c r="F64" s="105">
        <f>'BALANCE SHEET'!F26</f>
        <v>8450.94</v>
      </c>
      <c r="G64" s="105">
        <f>'BALANCE SHEET'!G26</f>
        <v>9006.3799999999992</v>
      </c>
      <c r="H64" s="105">
        <f>'BALANCE SHEET'!H26</f>
        <v>11566.99</v>
      </c>
      <c r="I64" s="104">
        <f>'BALANCE SHEET'!I26</f>
        <v>17957.900000000001</v>
      </c>
      <c r="J64" s="126">
        <f>J63*I66</f>
        <v>17905.479641417052</v>
      </c>
      <c r="K64" s="105">
        <f t="shared" ref="K64:N64" si="46">K63*J66</f>
        <v>22253.436331820769</v>
      </c>
      <c r="L64" s="105">
        <f t="shared" si="46"/>
        <v>27382.572603270237</v>
      </c>
      <c r="M64" s="105">
        <f t="shared" si="46"/>
        <v>30635.672709838593</v>
      </c>
      <c r="N64" s="104">
        <f t="shared" si="46"/>
        <v>35699.131341900931</v>
      </c>
      <c r="P64" s="25" t="s">
        <v>181</v>
      </c>
      <c r="Q64" s="92" t="s">
        <v>180</v>
      </c>
    </row>
    <row r="65" spans="2:16">
      <c r="B65" s="34" t="s">
        <v>178</v>
      </c>
      <c r="C65" s="18">
        <f>C64/C63</f>
        <v>1.127916675007173</v>
      </c>
      <c r="D65" s="4">
        <f t="shared" ref="D65:N65" si="47">D64/D63</f>
        <v>2.2337418363536332</v>
      </c>
      <c r="E65" s="4">
        <f t="shared" si="47"/>
        <v>1.0611717352733065</v>
      </c>
      <c r="F65" s="4">
        <f t="shared" si="47"/>
        <v>0.94645984992720356</v>
      </c>
      <c r="G65" s="4">
        <f t="shared" si="47"/>
        <v>0.75964743589743589</v>
      </c>
      <c r="H65" s="4">
        <f t="shared" si="47"/>
        <v>0.7826109607577808</v>
      </c>
      <c r="I65" s="8">
        <f t="shared" si="47"/>
        <v>1.0476576629134824</v>
      </c>
      <c r="J65" s="18">
        <f t="shared" si="47"/>
        <v>0.86330535318956636</v>
      </c>
      <c r="K65" s="4">
        <f t="shared" si="47"/>
        <v>0.8978579922869433</v>
      </c>
      <c r="L65" s="4">
        <f t="shared" si="47"/>
        <v>0.93627366946333079</v>
      </c>
      <c r="M65" s="4">
        <f t="shared" si="47"/>
        <v>0.89914567164661341</v>
      </c>
      <c r="N65" s="8">
        <f t="shared" si="47"/>
        <v>0.9110924444656292</v>
      </c>
    </row>
    <row r="66" spans="2:16">
      <c r="B66" s="35" t="s">
        <v>179</v>
      </c>
      <c r="C66" s="130"/>
      <c r="D66" s="129"/>
      <c r="E66" s="128">
        <f>SUM(C65:E65)/3</f>
        <v>1.4742767488780377</v>
      </c>
      <c r="F66" s="128">
        <f t="shared" ref="F66:N66" si="48">SUM(D65:F65)/3</f>
        <v>1.4137911405180477</v>
      </c>
      <c r="G66" s="128">
        <f t="shared" si="48"/>
        <v>0.92242634036598192</v>
      </c>
      <c r="H66" s="128">
        <f t="shared" si="48"/>
        <v>0.82957274886080679</v>
      </c>
      <c r="I66" s="131">
        <f t="shared" si="48"/>
        <v>0.86330535318956636</v>
      </c>
      <c r="J66" s="267">
        <f t="shared" si="48"/>
        <v>0.8978579922869433</v>
      </c>
      <c r="K66" s="128">
        <f t="shared" si="48"/>
        <v>0.93627366946333079</v>
      </c>
      <c r="L66" s="128">
        <f t="shared" si="48"/>
        <v>0.89914567164661341</v>
      </c>
      <c r="M66" s="128">
        <f t="shared" si="48"/>
        <v>0.9110924444656292</v>
      </c>
      <c r="N66" s="131">
        <f t="shared" si="48"/>
        <v>0.91550392852519114</v>
      </c>
      <c r="P66" s="25" t="s">
        <v>164</v>
      </c>
    </row>
    <row r="68" spans="2:16">
      <c r="B68" s="33" t="s">
        <v>160</v>
      </c>
      <c r="C68" s="234" t="s">
        <v>96</v>
      </c>
      <c r="D68" s="233" t="s">
        <v>96</v>
      </c>
      <c r="E68" s="233" t="s">
        <v>96</v>
      </c>
      <c r="F68" s="233" t="s">
        <v>96</v>
      </c>
      <c r="G68" s="233" t="s">
        <v>96</v>
      </c>
      <c r="H68" s="233" t="s">
        <v>96</v>
      </c>
      <c r="I68" s="235" t="s">
        <v>96</v>
      </c>
      <c r="J68" s="248" t="s">
        <v>97</v>
      </c>
      <c r="K68" s="157" t="s">
        <v>97</v>
      </c>
      <c r="L68" s="157" t="s">
        <v>97</v>
      </c>
      <c r="M68" s="157" t="s">
        <v>97</v>
      </c>
      <c r="N68" s="158" t="s">
        <v>97</v>
      </c>
    </row>
    <row r="69" spans="2:16">
      <c r="B69" s="33"/>
      <c r="C69" s="33">
        <v>2019</v>
      </c>
      <c r="D69" s="1">
        <v>2020</v>
      </c>
      <c r="E69" s="1">
        <v>2021</v>
      </c>
      <c r="F69" s="1">
        <v>2022</v>
      </c>
      <c r="G69" s="1">
        <v>2023</v>
      </c>
      <c r="H69" s="1">
        <v>2024</v>
      </c>
      <c r="I69" s="26">
        <v>2025</v>
      </c>
      <c r="J69" s="33">
        <v>2026</v>
      </c>
      <c r="K69" s="1">
        <v>2027</v>
      </c>
      <c r="L69" s="1">
        <v>2028</v>
      </c>
      <c r="M69" s="1">
        <v>2029</v>
      </c>
      <c r="N69" s="26">
        <v>2030</v>
      </c>
    </row>
    <row r="70" spans="2:16">
      <c r="B70" s="33" t="s">
        <v>65</v>
      </c>
      <c r="C70" s="268"/>
      <c r="D70" s="106">
        <f>'CASH FLOW'!E8</f>
        <v>-199.60000000000002</v>
      </c>
      <c r="E70" s="106">
        <f>'CASH FLOW'!F8</f>
        <v>-346.47</v>
      </c>
      <c r="F70" s="106">
        <f>'CASH FLOW'!G8</f>
        <v>-616.37</v>
      </c>
      <c r="G70" s="106">
        <f>'CASH FLOW'!H8</f>
        <v>25.740000000000009</v>
      </c>
      <c r="H70" s="106">
        <f>'CASH FLOW'!I8</f>
        <v>-275.45000000000005</v>
      </c>
      <c r="I70" s="111">
        <f>'CASH FLOW'!J8</f>
        <v>352.45000000000005</v>
      </c>
      <c r="J70" s="125">
        <f>'CASH FLOW'!K8</f>
        <v>-874.38073972602751</v>
      </c>
      <c r="K70" s="106">
        <f>'CASH FLOW'!L8</f>
        <v>-329.57681643835667</v>
      </c>
      <c r="L70" s="106">
        <f>'CASH FLOW'!M8</f>
        <v>-328.65627429588994</v>
      </c>
      <c r="M70" s="106">
        <f>'CASH FLOW'!N8</f>
        <v>-689.09170899890432</v>
      </c>
      <c r="N70" s="111">
        <f>'CASH FLOW'!O8</f>
        <v>-452.73725915942441</v>
      </c>
    </row>
    <row r="71" spans="2:16">
      <c r="B71" s="34" t="s">
        <v>66</v>
      </c>
      <c r="C71" s="269"/>
      <c r="D71" s="105">
        <f>'CASH FLOW'!E9</f>
        <v>-4454.97</v>
      </c>
      <c r="E71" s="105">
        <f>'CASH FLOW'!F9</f>
        <v>1866.9100000000008</v>
      </c>
      <c r="F71" s="105">
        <f>'CASH FLOW'!G9</f>
        <v>-2482.0400000000009</v>
      </c>
      <c r="G71" s="105">
        <f>'CASH FLOW'!H9</f>
        <v>-555.43999999999869</v>
      </c>
      <c r="H71" s="105">
        <f>'CASH FLOW'!I9</f>
        <v>-2560.6100000000006</v>
      </c>
      <c r="I71" s="104">
        <f>'CASH FLOW'!J9</f>
        <v>-6390.9100000000017</v>
      </c>
      <c r="J71" s="126">
        <f>'CASH FLOW'!K9</f>
        <v>52.42035858294912</v>
      </c>
      <c r="K71" s="105">
        <f>'CASH FLOW'!L9</f>
        <v>-4347.9566904037165</v>
      </c>
      <c r="L71" s="105">
        <f>'CASH FLOW'!M9</f>
        <v>-5129.136271449468</v>
      </c>
      <c r="M71" s="105">
        <f>'CASH FLOW'!N9</f>
        <v>-3253.1001065683558</v>
      </c>
      <c r="N71" s="104">
        <f>'CASH FLOW'!O9</f>
        <v>-5063.4586320623384</v>
      </c>
    </row>
    <row r="72" spans="2:16">
      <c r="B72" s="34" t="s">
        <v>67</v>
      </c>
      <c r="C72" s="269"/>
      <c r="D72" s="105">
        <f>'CASH FLOW'!E10</f>
        <v>2915.59</v>
      </c>
      <c r="E72" s="105">
        <f>'CASH FLOW'!F10</f>
        <v>1675.4600000000009</v>
      </c>
      <c r="F72" s="105">
        <f>'CASH FLOW'!G10</f>
        <v>1929.9399999999987</v>
      </c>
      <c r="G72" s="105">
        <f>'CASH FLOW'!H10</f>
        <v>-5078.1899999999987</v>
      </c>
      <c r="H72" s="105">
        <f>'CASH FLOW'!I10</f>
        <v>21641.620000000003</v>
      </c>
      <c r="I72" s="104">
        <f>'CASH FLOW'!J10</f>
        <v>-5836.5400000000009</v>
      </c>
      <c r="J72" s="126">
        <f>'CASH FLOW'!K10</f>
        <v>66.015772713290062</v>
      </c>
      <c r="K72" s="105">
        <f>'CASH FLOW'!L10</f>
        <v>248.20807873806916</v>
      </c>
      <c r="L72" s="105">
        <f>'CASH FLOW'!M10</f>
        <v>288.58469611643886</v>
      </c>
      <c r="M72" s="105">
        <f>'CASH FLOW'!N10</f>
        <v>428.592663534655</v>
      </c>
      <c r="N72" s="104">
        <f>'CASH FLOW'!O10</f>
        <v>509.20027549343286</v>
      </c>
    </row>
    <row r="73" spans="2:16">
      <c r="B73" s="86" t="s">
        <v>183</v>
      </c>
      <c r="C73" s="270"/>
      <c r="D73" s="117">
        <f>SUM(D70:D72)</f>
        <v>-1738.9800000000005</v>
      </c>
      <c r="E73" s="117">
        <f t="shared" ref="E73:N73" si="49">SUM(E70:E72)</f>
        <v>3195.9000000000015</v>
      </c>
      <c r="F73" s="117">
        <f t="shared" si="49"/>
        <v>-1168.4700000000021</v>
      </c>
      <c r="G73" s="117">
        <f t="shared" si="49"/>
        <v>-5607.8899999999976</v>
      </c>
      <c r="H73" s="117">
        <f t="shared" si="49"/>
        <v>18805.560000000001</v>
      </c>
      <c r="I73" s="118">
        <f t="shared" si="49"/>
        <v>-11875.000000000004</v>
      </c>
      <c r="J73" s="258">
        <f t="shared" si="49"/>
        <v>-755.94460842978833</v>
      </c>
      <c r="K73" s="117">
        <f t="shared" si="49"/>
        <v>-4429.3254281040045</v>
      </c>
      <c r="L73" s="117">
        <f t="shared" si="49"/>
        <v>-5169.2078496289196</v>
      </c>
      <c r="M73" s="117">
        <f t="shared" si="49"/>
        <v>-3513.5991520326052</v>
      </c>
      <c r="N73" s="118">
        <f t="shared" si="49"/>
        <v>-5006.9956157283304</v>
      </c>
      <c r="P73" s="25" t="s">
        <v>185</v>
      </c>
    </row>
  </sheetData>
  <pageMargins left="0.7" right="0.7" top="0.75" bottom="0.75" header="0.3" footer="0.3"/>
  <ignoredErrors>
    <ignoredError sqref="J43 J36" evalError="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69F60-8194-43AE-AD16-7C481AD1F9C3}">
  <dimension ref="B1:I15"/>
  <sheetViews>
    <sheetView showGridLines="0" workbookViewId="0">
      <selection activeCell="D19" sqref="D19"/>
    </sheetView>
  </sheetViews>
  <sheetFormatPr defaultRowHeight="14.4"/>
  <cols>
    <col min="2" max="2" width="27.33203125" bestFit="1" customWidth="1"/>
    <col min="3" max="3" width="6.109375" bestFit="1" customWidth="1"/>
    <col min="4" max="4" width="15.109375" bestFit="1" customWidth="1"/>
    <col min="5" max="5" width="9.44140625" bestFit="1" customWidth="1"/>
    <col min="6" max="6" width="17.21875" bestFit="1" customWidth="1"/>
    <col min="7" max="7" width="13.77734375" bestFit="1" customWidth="1"/>
    <col min="9" max="9" width="126.109375" customWidth="1"/>
  </cols>
  <sheetData>
    <row r="1" spans="2:9">
      <c r="I1" s="90" t="s">
        <v>106</v>
      </c>
    </row>
    <row r="2" spans="2:9">
      <c r="B2" s="285" t="s">
        <v>260</v>
      </c>
      <c r="C2" s="286"/>
      <c r="D2" s="286"/>
      <c r="E2" s="286"/>
      <c r="F2" s="286"/>
      <c r="G2" s="287"/>
      <c r="I2" s="90"/>
    </row>
    <row r="3" spans="2:9">
      <c r="B3" s="116" t="s">
        <v>201</v>
      </c>
      <c r="C3" s="116" t="s">
        <v>202</v>
      </c>
      <c r="D3" s="116" t="s">
        <v>203</v>
      </c>
      <c r="E3" s="116" t="s">
        <v>204</v>
      </c>
      <c r="F3" s="116" t="s">
        <v>196</v>
      </c>
      <c r="G3" s="88" t="s">
        <v>205</v>
      </c>
    </row>
    <row r="4" spans="2:9">
      <c r="B4" s="32" t="s">
        <v>206</v>
      </c>
      <c r="C4" s="32" t="s">
        <v>209</v>
      </c>
      <c r="D4" s="32">
        <v>0.11</v>
      </c>
      <c r="E4" s="32">
        <v>0</v>
      </c>
      <c r="F4" s="172">
        <v>0.25</v>
      </c>
      <c r="G4" s="25">
        <v>0.11</v>
      </c>
    </row>
    <row r="5" spans="2:9">
      <c r="B5" s="32" t="s">
        <v>207</v>
      </c>
      <c r="C5" s="32" t="s">
        <v>210</v>
      </c>
      <c r="D5" s="32">
        <v>0.38</v>
      </c>
      <c r="E5" s="32">
        <v>0</v>
      </c>
      <c r="F5" s="172">
        <v>0.25</v>
      </c>
      <c r="G5" s="25">
        <v>0.38</v>
      </c>
    </row>
    <row r="6" spans="2:9">
      <c r="B6" s="120" t="s">
        <v>208</v>
      </c>
      <c r="C6" s="120" t="s">
        <v>211</v>
      </c>
      <c r="D6" s="120">
        <v>0.19</v>
      </c>
      <c r="E6" s="120">
        <v>0</v>
      </c>
      <c r="F6" s="178">
        <v>0.25</v>
      </c>
      <c r="G6" s="37">
        <v>0.19</v>
      </c>
    </row>
    <row r="7" spans="2:9" ht="43.2">
      <c r="B7" s="176" t="s">
        <v>212</v>
      </c>
      <c r="C7" s="1"/>
      <c r="D7" s="1"/>
      <c r="E7" s="1"/>
      <c r="F7" s="1"/>
      <c r="G7" s="177">
        <f>AVERAGE(G4:G6)</f>
        <v>0.22666666666666666</v>
      </c>
      <c r="I7" s="109" t="s">
        <v>213</v>
      </c>
    </row>
    <row r="8" spans="2:9" ht="57.6">
      <c r="B8" s="35"/>
      <c r="C8" s="36"/>
      <c r="D8" s="36"/>
      <c r="E8" s="36"/>
      <c r="F8" s="36"/>
      <c r="G8" s="37"/>
      <c r="I8" s="109" t="s">
        <v>214</v>
      </c>
    </row>
    <row r="11" spans="2:9">
      <c r="B11" s="116" t="s">
        <v>201</v>
      </c>
      <c r="C11" s="116" t="s">
        <v>202</v>
      </c>
      <c r="D11" s="86" t="s">
        <v>261</v>
      </c>
      <c r="E11" s="116" t="s">
        <v>262</v>
      </c>
      <c r="F11" s="88" t="s">
        <v>263</v>
      </c>
    </row>
    <row r="12" spans="2:9">
      <c r="B12" s="32" t="s">
        <v>206</v>
      </c>
      <c r="C12" s="32" t="s">
        <v>209</v>
      </c>
      <c r="D12" s="126">
        <v>85818</v>
      </c>
      <c r="E12" s="181">
        <v>2638</v>
      </c>
      <c r="F12" s="179">
        <f>D12/E12</f>
        <v>32.531463229719485</v>
      </c>
      <c r="I12" s="288" t="s">
        <v>265</v>
      </c>
    </row>
    <row r="13" spans="2:9">
      <c r="B13" s="32" t="s">
        <v>207</v>
      </c>
      <c r="C13" s="32" t="s">
        <v>210</v>
      </c>
      <c r="D13" s="126">
        <v>39518</v>
      </c>
      <c r="E13" s="181">
        <v>892</v>
      </c>
      <c r="F13" s="179">
        <f t="shared" ref="F13:F14" si="0">D13/E13</f>
        <v>44.302690582959642</v>
      </c>
      <c r="I13" s="288"/>
    </row>
    <row r="14" spans="2:9" ht="58.8" customHeight="1">
      <c r="B14" s="120" t="s">
        <v>208</v>
      </c>
      <c r="C14" s="120" t="s">
        <v>211</v>
      </c>
      <c r="D14" s="182">
        <v>32108</v>
      </c>
      <c r="E14" s="183">
        <v>699</v>
      </c>
      <c r="F14" s="180">
        <f t="shared" si="0"/>
        <v>45.934191702432045</v>
      </c>
      <c r="I14" s="288"/>
    </row>
    <row r="15" spans="2:9" ht="57.6">
      <c r="B15" s="86" t="s">
        <v>264</v>
      </c>
      <c r="C15" s="87"/>
      <c r="D15" s="87"/>
      <c r="E15" s="87"/>
      <c r="F15" s="184">
        <f>MEDIAN(F12:F14)</f>
        <v>44.302690582959642</v>
      </c>
      <c r="I15" s="109" t="s">
        <v>266</v>
      </c>
    </row>
  </sheetData>
  <mergeCells count="2">
    <mergeCell ref="B2:G2"/>
    <mergeCell ref="I12:I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7EC92-E970-4654-88F2-5DAF761E9FE3}">
  <dimension ref="B2:Q8"/>
  <sheetViews>
    <sheetView showGridLines="0" workbookViewId="0">
      <selection activeCell="F18" sqref="F18"/>
    </sheetView>
  </sheetViews>
  <sheetFormatPr defaultColWidth="6.6640625" defaultRowHeight="14.4"/>
  <cols>
    <col min="1" max="1" width="5.21875" customWidth="1"/>
    <col min="2" max="2" width="32.21875" bestFit="1" customWidth="1"/>
    <col min="3" max="3" width="9.44140625" bestFit="1" customWidth="1"/>
    <col min="4" max="4" width="10.109375" bestFit="1" customWidth="1"/>
    <col min="5" max="5" width="9.44140625" bestFit="1" customWidth="1"/>
    <col min="6" max="6" width="10.109375" bestFit="1" customWidth="1"/>
    <col min="7" max="7" width="10.44140625" bestFit="1" customWidth="1"/>
    <col min="8" max="9" width="11.109375" bestFit="1" customWidth="1"/>
    <col min="10" max="14" width="10.44140625" bestFit="1" customWidth="1"/>
    <col min="16" max="16" width="54.21875" bestFit="1" customWidth="1"/>
    <col min="17" max="17" width="255.6640625" customWidth="1"/>
  </cols>
  <sheetData>
    <row r="2" spans="2:17">
      <c r="B2" s="276" t="s">
        <v>18</v>
      </c>
      <c r="C2" s="234" t="s">
        <v>96</v>
      </c>
      <c r="D2" s="233" t="s">
        <v>96</v>
      </c>
      <c r="E2" s="233" t="s">
        <v>96</v>
      </c>
      <c r="F2" s="233" t="s">
        <v>96</v>
      </c>
      <c r="G2" s="233" t="s">
        <v>96</v>
      </c>
      <c r="H2" s="233" t="s">
        <v>96</v>
      </c>
      <c r="I2" s="235" t="s">
        <v>96</v>
      </c>
      <c r="J2" s="248" t="s">
        <v>97</v>
      </c>
      <c r="K2" s="157" t="s">
        <v>97</v>
      </c>
      <c r="L2" s="157" t="s">
        <v>97</v>
      </c>
      <c r="M2" s="157" t="s">
        <v>97</v>
      </c>
      <c r="N2" s="158" t="s">
        <v>97</v>
      </c>
      <c r="P2" s="93" t="s">
        <v>103</v>
      </c>
      <c r="Q2" s="90" t="s">
        <v>106</v>
      </c>
    </row>
    <row r="3" spans="2:17">
      <c r="B3" s="278"/>
      <c r="C3" s="86">
        <v>2019</v>
      </c>
      <c r="D3" s="87">
        <v>2020</v>
      </c>
      <c r="E3" s="87">
        <v>2021</v>
      </c>
      <c r="F3" s="87">
        <v>2022</v>
      </c>
      <c r="G3" s="87">
        <v>2023</v>
      </c>
      <c r="H3" s="87">
        <v>2024</v>
      </c>
      <c r="I3" s="88">
        <v>2025</v>
      </c>
      <c r="J3" s="86">
        <v>2026</v>
      </c>
      <c r="K3" s="87">
        <v>2027</v>
      </c>
      <c r="L3" s="87">
        <v>2028</v>
      </c>
      <c r="M3" s="87">
        <v>2029</v>
      </c>
      <c r="N3" s="88">
        <v>2030</v>
      </c>
      <c r="P3" s="25"/>
    </row>
    <row r="4" spans="2:17">
      <c r="B4" s="60" t="s">
        <v>184</v>
      </c>
      <c r="C4" s="126">
        <f>'INCOME STATEMENT'!C33</f>
        <v>1708.04</v>
      </c>
      <c r="D4" s="105">
        <f>'INCOME STATEMENT'!D33</f>
        <v>1884.78</v>
      </c>
      <c r="E4" s="105">
        <f>'INCOME STATEMENT'!E33</f>
        <v>3574.42</v>
      </c>
      <c r="F4" s="105">
        <f>'INCOME STATEMENT'!F33</f>
        <v>5063.3999999999996</v>
      </c>
      <c r="G4" s="105">
        <f>'INCOME STATEMENT'!G33</f>
        <v>7355.1</v>
      </c>
      <c r="H4" s="105">
        <f>'INCOME STATEMENT'!H33</f>
        <v>8305.2999999999993</v>
      </c>
      <c r="I4" s="104">
        <f>'INCOME STATEMENT'!I33</f>
        <v>11221.84</v>
      </c>
      <c r="J4" s="126">
        <f>'INCOME STATEMENT'!J33</f>
        <v>13423.083153449999</v>
      </c>
      <c r="K4" s="105">
        <f>'INCOME STATEMENT'!K33</f>
        <v>16113.333304810953</v>
      </c>
      <c r="L4" s="105">
        <f>'INCOME STATEMENT'!L33</f>
        <v>19148.445523875169</v>
      </c>
      <c r="M4" s="105">
        <f>'INCOME STATEMENT'!M33</f>
        <v>22526.806393483006</v>
      </c>
      <c r="N4" s="104">
        <f>'INCOME STATEMENT'!N33</f>
        <v>26239.584706286718</v>
      </c>
      <c r="P4" s="25"/>
    </row>
    <row r="5" spans="2:17">
      <c r="B5" s="32" t="s">
        <v>10</v>
      </c>
      <c r="C5" s="126">
        <f>'INCOME STATEMENT'!C19</f>
        <v>142.02000000000001</v>
      </c>
      <c r="D5" s="105">
        <f>'INCOME STATEMENT'!D19</f>
        <v>180.78</v>
      </c>
      <c r="E5" s="105">
        <f>'INCOME STATEMENT'!E19</f>
        <v>226.01</v>
      </c>
      <c r="F5" s="105">
        <f>'INCOME STATEMENT'!F19</f>
        <v>338</v>
      </c>
      <c r="G5" s="105">
        <f>'INCOME STATEMENT'!G19</f>
        <v>384</v>
      </c>
      <c r="H5" s="105">
        <f>'INCOME STATEMENT'!H19</f>
        <v>439</v>
      </c>
      <c r="I5" s="104">
        <f>'INCOME STATEMENT'!I19</f>
        <v>546.59</v>
      </c>
      <c r="J5" s="126">
        <f>'INCOME STATEMENT'!J19</f>
        <v>737.83613639999999</v>
      </c>
      <c r="K5" s="105">
        <f>'INCOME STATEMENT'!K19</f>
        <v>915.00711528599993</v>
      </c>
      <c r="L5" s="105">
        <f>'INCOME STATEMENT'!L19</f>
        <v>1112.3045623872599</v>
      </c>
      <c r="M5" s="105">
        <f>'INCOME STATEMENT'!M19</f>
        <v>1330.3052731566049</v>
      </c>
      <c r="N5" s="104">
        <f>'INCOME STATEMENT'!N19</f>
        <v>1568.1784737403516</v>
      </c>
      <c r="P5" s="25"/>
    </row>
    <row r="6" spans="2:17">
      <c r="B6" s="32" t="s">
        <v>183</v>
      </c>
      <c r="C6" s="269"/>
      <c r="D6" s="105">
        <f>'FORCAST SCHEDULES'!D73</f>
        <v>-1738.9800000000005</v>
      </c>
      <c r="E6" s="105">
        <f>'FORCAST SCHEDULES'!E73</f>
        <v>3195.9000000000015</v>
      </c>
      <c r="F6" s="105">
        <f>'FORCAST SCHEDULES'!F73</f>
        <v>-1168.4700000000021</v>
      </c>
      <c r="G6" s="105">
        <f>'FORCAST SCHEDULES'!G73</f>
        <v>-5607.8899999999976</v>
      </c>
      <c r="H6" s="105">
        <f>'FORCAST SCHEDULES'!H73</f>
        <v>18805.560000000001</v>
      </c>
      <c r="I6" s="104">
        <f>'FORCAST SCHEDULES'!I73</f>
        <v>-11875.000000000004</v>
      </c>
      <c r="J6" s="126">
        <f>'FORCAST SCHEDULES'!J73</f>
        <v>-755.94460842978833</v>
      </c>
      <c r="K6" s="105">
        <f>'FORCAST SCHEDULES'!K73</f>
        <v>-4429.3254281040045</v>
      </c>
      <c r="L6" s="105">
        <f>'FORCAST SCHEDULES'!L73</f>
        <v>-5169.2078496289196</v>
      </c>
      <c r="M6" s="105">
        <f>'FORCAST SCHEDULES'!M73</f>
        <v>-3513.5991520326052</v>
      </c>
      <c r="N6" s="104">
        <f>'FORCAST SCHEDULES'!N73</f>
        <v>-5006.9956157283304</v>
      </c>
      <c r="P6" s="25"/>
    </row>
    <row r="7" spans="2:17">
      <c r="B7" s="32" t="s">
        <v>73</v>
      </c>
      <c r="C7" s="269"/>
      <c r="D7" s="105">
        <f>'CASH FLOW'!E16</f>
        <v>166.83999999999995</v>
      </c>
      <c r="E7" s="105">
        <f>'CASH FLOW'!F16</f>
        <v>390.0200000000001</v>
      </c>
      <c r="F7" s="105">
        <f>'CASH FLOW'!G16</f>
        <v>686.36</v>
      </c>
      <c r="G7" s="105">
        <f>'CASH FLOW'!H16</f>
        <v>300.52</v>
      </c>
      <c r="H7" s="105">
        <f>'CASH FLOW'!I16</f>
        <v>476.94000000000005</v>
      </c>
      <c r="I7" s="104">
        <f>'CASH FLOW'!J16</f>
        <v>1103.08</v>
      </c>
      <c r="J7" s="126">
        <f>'CASH FLOW'!K16</f>
        <v>1161.4741599999995</v>
      </c>
      <c r="K7" s="105">
        <f>'CASH FLOW'!L16</f>
        <v>1387.9616212000001</v>
      </c>
      <c r="L7" s="105">
        <f>'CASH FLOW'!M16</f>
        <v>1637.7947130160001</v>
      </c>
      <c r="M7" s="105">
        <f>'CASH FLOW'!N16</f>
        <v>1908.03084066364</v>
      </c>
      <c r="N7" s="104">
        <f>'CASH FLOW'!O16</f>
        <v>2194.2354667631862</v>
      </c>
      <c r="O7" s="105"/>
      <c r="P7" s="25"/>
    </row>
    <row r="8" spans="2:17" ht="28.8">
      <c r="B8" s="116" t="s">
        <v>186</v>
      </c>
      <c r="C8" s="270"/>
      <c r="D8" s="117">
        <f>D4+D5-D6-D7</f>
        <v>3637.7000000000003</v>
      </c>
      <c r="E8" s="117">
        <f t="shared" ref="E8:N8" si="0">E4+E5-E6-E7</f>
        <v>214.50999999999874</v>
      </c>
      <c r="F8" s="117">
        <f t="shared" si="0"/>
        <v>5883.510000000002</v>
      </c>
      <c r="G8" s="117">
        <f t="shared" si="0"/>
        <v>13046.469999999998</v>
      </c>
      <c r="H8" s="117">
        <f t="shared" si="0"/>
        <v>-10538.200000000003</v>
      </c>
      <c r="I8" s="118">
        <f t="shared" si="0"/>
        <v>22540.350000000006</v>
      </c>
      <c r="J8" s="258">
        <f t="shared" si="0"/>
        <v>13755.389738279788</v>
      </c>
      <c r="K8" s="117">
        <f t="shared" si="0"/>
        <v>20069.704227000959</v>
      </c>
      <c r="L8" s="117">
        <f t="shared" si="0"/>
        <v>23792.163222875348</v>
      </c>
      <c r="M8" s="117">
        <f t="shared" si="0"/>
        <v>25462.679978008578</v>
      </c>
      <c r="N8" s="118">
        <f t="shared" si="0"/>
        <v>30620.523328992211</v>
      </c>
      <c r="P8" s="25" t="s">
        <v>188</v>
      </c>
      <c r="Q8" s="92" t="s">
        <v>187</v>
      </c>
    </row>
  </sheetData>
  <mergeCells count="1">
    <mergeCell ref="B2:B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1251-5984-413F-B8F9-D87F82EB7578}">
  <dimension ref="B2:M87"/>
  <sheetViews>
    <sheetView showGridLines="0" topLeftCell="A74" workbookViewId="0">
      <selection activeCell="E90" sqref="E90"/>
    </sheetView>
  </sheetViews>
  <sheetFormatPr defaultRowHeight="14.4"/>
  <cols>
    <col min="2" max="2" width="29.44140625" bestFit="1" customWidth="1"/>
    <col min="3" max="3" width="13.109375" bestFit="1" customWidth="1"/>
    <col min="4" max="4" width="21.109375" bestFit="1" customWidth="1"/>
    <col min="5" max="5" width="25" bestFit="1" customWidth="1"/>
    <col min="6" max="6" width="13.77734375" bestFit="1" customWidth="1"/>
    <col min="7" max="7" width="15" customWidth="1"/>
    <col min="8" max="8" width="13.21875" bestFit="1" customWidth="1"/>
    <col min="9" max="9" width="36.21875" bestFit="1" customWidth="1"/>
    <col min="10" max="10" width="48.33203125" customWidth="1"/>
    <col min="11" max="11" width="152.5546875" customWidth="1"/>
  </cols>
  <sheetData>
    <row r="2" spans="2:11">
      <c r="B2" s="285" t="s">
        <v>216</v>
      </c>
      <c r="C2" s="287"/>
    </row>
    <row r="3" spans="2:11">
      <c r="B3" s="144" t="s">
        <v>189</v>
      </c>
      <c r="C3" s="144" t="s">
        <v>190</v>
      </c>
      <c r="K3" s="152" t="s">
        <v>106</v>
      </c>
    </row>
    <row r="4" spans="2:11" ht="57.6">
      <c r="B4" s="146" t="s">
        <v>193</v>
      </c>
      <c r="C4" s="94">
        <v>6.4899999999999999E-2</v>
      </c>
      <c r="D4" s="89"/>
      <c r="E4" s="89"/>
      <c r="K4" s="148" t="s">
        <v>191</v>
      </c>
    </row>
    <row r="5" spans="2:11" ht="57.6">
      <c r="B5" s="146" t="s">
        <v>192</v>
      </c>
      <c r="C5" s="94">
        <v>5.1499999999999997E-2</v>
      </c>
      <c r="D5" s="89"/>
      <c r="E5" s="89"/>
      <c r="K5" s="148" t="s">
        <v>194</v>
      </c>
    </row>
    <row r="6" spans="2:11" ht="111" customHeight="1">
      <c r="B6" s="146" t="s">
        <v>195</v>
      </c>
      <c r="C6" s="147">
        <f>'BETA AND EV_MULTIPLE CALCULATIO'!G7</f>
        <v>0.22666666666666666</v>
      </c>
      <c r="D6" s="89"/>
      <c r="E6" s="89"/>
      <c r="K6" s="148" t="s">
        <v>215</v>
      </c>
    </row>
    <row r="7" spans="2:11" ht="28.8">
      <c r="B7" s="146" t="s">
        <v>229</v>
      </c>
      <c r="C7" s="94">
        <f>C4+C6*C5</f>
        <v>7.6573333333333327E-2</v>
      </c>
      <c r="D7" s="89"/>
      <c r="E7" s="89"/>
      <c r="K7" s="148" t="s">
        <v>230</v>
      </c>
    </row>
    <row r="8" spans="2:11" ht="15" customHeight="1">
      <c r="B8" s="32"/>
      <c r="C8" s="25"/>
      <c r="K8" s="153"/>
    </row>
    <row r="9" spans="2:11">
      <c r="B9" s="145" t="s">
        <v>197</v>
      </c>
      <c r="C9" s="143" t="s">
        <v>190</v>
      </c>
      <c r="K9" s="154" t="s">
        <v>106</v>
      </c>
    </row>
    <row r="10" spans="2:11" ht="49.8" customHeight="1">
      <c r="B10" s="146" t="s">
        <v>231</v>
      </c>
      <c r="C10" s="94">
        <v>0</v>
      </c>
      <c r="D10" s="89"/>
      <c r="E10" s="89"/>
      <c r="K10" s="148" t="s">
        <v>222</v>
      </c>
    </row>
    <row r="11" spans="2:11" ht="22.2" customHeight="1">
      <c r="B11" s="146" t="s">
        <v>196</v>
      </c>
      <c r="C11" s="94">
        <v>0.25</v>
      </c>
      <c r="D11" s="89"/>
      <c r="E11" s="89"/>
      <c r="K11" s="148" t="s">
        <v>223</v>
      </c>
    </row>
    <row r="12" spans="2:11" ht="43.2">
      <c r="B12" s="146" t="s">
        <v>217</v>
      </c>
      <c r="C12" s="94">
        <v>0</v>
      </c>
      <c r="D12" s="89"/>
      <c r="E12" s="89"/>
      <c r="K12" s="148" t="s">
        <v>224</v>
      </c>
    </row>
    <row r="13" spans="2:11">
      <c r="B13" s="32"/>
      <c r="C13" s="25"/>
      <c r="K13" s="153"/>
    </row>
    <row r="14" spans="2:11">
      <c r="B14" s="145" t="s">
        <v>198</v>
      </c>
      <c r="C14" s="143" t="s">
        <v>190</v>
      </c>
      <c r="K14" s="154" t="s">
        <v>106</v>
      </c>
    </row>
    <row r="15" spans="2:11" ht="28.8">
      <c r="B15" s="146" t="s">
        <v>199</v>
      </c>
      <c r="C15" s="150">
        <f>'BALANCE SHEET'!I7</f>
        <v>30353.33</v>
      </c>
      <c r="D15" s="89"/>
      <c r="E15" s="89"/>
      <c r="K15" s="148" t="s">
        <v>225</v>
      </c>
    </row>
    <row r="16" spans="2:11" ht="28.8">
      <c r="B16" s="146" t="s">
        <v>200</v>
      </c>
      <c r="C16" s="150">
        <v>0</v>
      </c>
      <c r="D16" s="89"/>
      <c r="E16" s="89"/>
      <c r="K16" s="148" t="s">
        <v>226</v>
      </c>
    </row>
    <row r="17" spans="2:11" ht="28.8">
      <c r="B17" s="146" t="s">
        <v>218</v>
      </c>
      <c r="C17" s="150">
        <f>C15+C16</f>
        <v>30353.33</v>
      </c>
      <c r="D17" s="89"/>
      <c r="E17" s="89"/>
      <c r="K17" s="148" t="s">
        <v>227</v>
      </c>
    </row>
    <row r="18" spans="2:11">
      <c r="B18" s="146" t="s">
        <v>219</v>
      </c>
      <c r="C18" s="97">
        <f>C15/C17</f>
        <v>1</v>
      </c>
      <c r="D18" s="89"/>
      <c r="E18" s="89"/>
      <c r="K18" s="289" t="s">
        <v>228</v>
      </c>
    </row>
    <row r="19" spans="2:11">
      <c r="B19" s="146" t="s">
        <v>220</v>
      </c>
      <c r="C19" s="97">
        <f>C16/C17</f>
        <v>0</v>
      </c>
      <c r="D19" s="89"/>
      <c r="E19" s="89"/>
      <c r="K19" s="289"/>
    </row>
    <row r="20" spans="2:11">
      <c r="B20" s="146"/>
      <c r="C20" s="149"/>
      <c r="D20" s="89"/>
      <c r="E20" s="89"/>
      <c r="K20" s="148"/>
    </row>
    <row r="21" spans="2:11">
      <c r="B21" s="145" t="s">
        <v>221</v>
      </c>
      <c r="C21" s="143" t="s">
        <v>190</v>
      </c>
      <c r="K21" s="148"/>
    </row>
    <row r="22" spans="2:11" ht="60" customHeight="1">
      <c r="B22" s="120" t="s">
        <v>221</v>
      </c>
      <c r="C22" s="155">
        <f>C18*C7</f>
        <v>7.6573333333333327E-2</v>
      </c>
      <c r="K22" s="151" t="s">
        <v>232</v>
      </c>
    </row>
    <row r="25" spans="2:11">
      <c r="B25" s="285" t="s">
        <v>233</v>
      </c>
      <c r="C25" s="286"/>
      <c r="D25" s="286"/>
      <c r="E25" s="286"/>
      <c r="F25" s="286"/>
      <c r="G25" s="287"/>
      <c r="H25" s="187"/>
    </row>
    <row r="26" spans="2:11">
      <c r="B26" s="60"/>
      <c r="C26" s="157" t="s">
        <v>97</v>
      </c>
      <c r="D26" s="157" t="s">
        <v>97</v>
      </c>
      <c r="E26" s="157" t="s">
        <v>97</v>
      </c>
      <c r="F26" s="157" t="s">
        <v>97</v>
      </c>
      <c r="G26" s="158" t="s">
        <v>97</v>
      </c>
      <c r="H26" s="188"/>
      <c r="K26" s="164" t="s">
        <v>106</v>
      </c>
    </row>
    <row r="27" spans="2:11">
      <c r="B27" s="120" t="s">
        <v>18</v>
      </c>
      <c r="C27" s="1">
        <v>2026</v>
      </c>
      <c r="D27" s="1">
        <v>2027</v>
      </c>
      <c r="E27" s="1">
        <v>2028</v>
      </c>
      <c r="F27" s="1">
        <v>2029</v>
      </c>
      <c r="G27" s="26">
        <v>2030</v>
      </c>
    </row>
    <row r="28" spans="2:11">
      <c r="B28" s="33" t="s">
        <v>234</v>
      </c>
      <c r="C28" s="159">
        <f>'INCOME STATEMENT'!J20</f>
        <v>15205.470770600001</v>
      </c>
      <c r="D28" s="165">
        <f>'INCOME STATEMENT'!K20</f>
        <v>18137.244638579003</v>
      </c>
      <c r="E28" s="165">
        <f>'INCOME STATEMENT'!L20</f>
        <v>21369.35250717344</v>
      </c>
      <c r="F28" s="165">
        <f>'INCOME STATEMENT'!M20</f>
        <v>24860.825212881613</v>
      </c>
      <c r="G28" s="166">
        <f>'INCOME STATEMENT'!N20</f>
        <v>28551.621585203597</v>
      </c>
      <c r="H28" s="161"/>
      <c r="K28" s="290" t="s">
        <v>240</v>
      </c>
    </row>
    <row r="29" spans="2:11">
      <c r="B29" s="34" t="s">
        <v>235</v>
      </c>
      <c r="C29" s="163">
        <f>'INCOME STATEMENT'!J30</f>
        <v>0.25</v>
      </c>
      <c r="D29" s="142">
        <f>'INCOME STATEMENT'!K30</f>
        <v>0.25</v>
      </c>
      <c r="E29" s="142">
        <f>'INCOME STATEMENT'!L30</f>
        <v>0.25</v>
      </c>
      <c r="F29" s="142">
        <f>'INCOME STATEMENT'!M30</f>
        <v>0.25</v>
      </c>
      <c r="G29" s="96">
        <f>'INCOME STATEMENT'!N30</f>
        <v>0.25</v>
      </c>
      <c r="H29" s="142"/>
      <c r="K29" s="290"/>
    </row>
    <row r="30" spans="2:11" ht="26.4" customHeight="1">
      <c r="B30" s="34" t="s">
        <v>236</v>
      </c>
      <c r="C30" s="160">
        <f>C28*C29</f>
        <v>3801.3676926500002</v>
      </c>
      <c r="D30" s="161">
        <f t="shared" ref="D30:G30" si="0">D28*D29</f>
        <v>4534.3111596447507</v>
      </c>
      <c r="E30" s="161">
        <f t="shared" si="0"/>
        <v>5342.3381267933601</v>
      </c>
      <c r="F30" s="161">
        <f t="shared" si="0"/>
        <v>6215.2063032204032</v>
      </c>
      <c r="G30" s="162">
        <f t="shared" si="0"/>
        <v>7137.9053963008992</v>
      </c>
      <c r="H30" s="161"/>
      <c r="K30" t="s">
        <v>242</v>
      </c>
    </row>
    <row r="31" spans="2:11" ht="40.200000000000003" customHeight="1">
      <c r="B31" s="34" t="s">
        <v>237</v>
      </c>
      <c r="C31" s="160">
        <f>C28-C30</f>
        <v>11404.10307795</v>
      </c>
      <c r="D31" s="161">
        <f t="shared" ref="D31:G31" si="1">D28-D30</f>
        <v>13602.933478934252</v>
      </c>
      <c r="E31" s="161">
        <f t="shared" si="1"/>
        <v>16027.01438038008</v>
      </c>
      <c r="F31" s="161">
        <f t="shared" si="1"/>
        <v>18645.618909661211</v>
      </c>
      <c r="G31" s="162">
        <f t="shared" si="1"/>
        <v>21413.716188902697</v>
      </c>
      <c r="H31" s="161"/>
      <c r="K31" s="109" t="s">
        <v>241</v>
      </c>
    </row>
    <row r="32" spans="2:11" ht="34.200000000000003" customHeight="1">
      <c r="B32" s="34" t="s">
        <v>10</v>
      </c>
      <c r="C32" s="160">
        <f>'INCOME STATEMENT'!J19</f>
        <v>737.83613639999999</v>
      </c>
      <c r="D32" s="161">
        <f>'INCOME STATEMENT'!K19</f>
        <v>915.00711528599993</v>
      </c>
      <c r="E32" s="161">
        <f>'INCOME STATEMENT'!L19</f>
        <v>1112.3045623872599</v>
      </c>
      <c r="F32" s="161">
        <f>'INCOME STATEMENT'!M19</f>
        <v>1330.3052731566049</v>
      </c>
      <c r="G32" s="162">
        <f>'INCOME STATEMENT'!N19</f>
        <v>1568.1784737403516</v>
      </c>
      <c r="H32" s="161"/>
      <c r="K32" s="167" t="s">
        <v>243</v>
      </c>
    </row>
    <row r="33" spans="2:11" ht="37.799999999999997" customHeight="1">
      <c r="B33" s="34" t="s">
        <v>238</v>
      </c>
      <c r="C33" s="160">
        <f>'FORCAST SCHEDULES'!J5</f>
        <v>1161.47416</v>
      </c>
      <c r="D33" s="161">
        <f>'FORCAST SCHEDULES'!K5</f>
        <v>1387.9616212000003</v>
      </c>
      <c r="E33" s="161">
        <f>'FORCAST SCHEDULES'!L5</f>
        <v>1637.7947130160003</v>
      </c>
      <c r="F33" s="161">
        <f>'FORCAST SCHEDULES'!M5</f>
        <v>1908.0308406636404</v>
      </c>
      <c r="G33" s="162">
        <f>'FORCAST SCHEDULES'!N5</f>
        <v>2194.2354667631862</v>
      </c>
      <c r="H33" s="161"/>
      <c r="K33" s="167" t="s">
        <v>244</v>
      </c>
    </row>
    <row r="34" spans="2:11" ht="37.799999999999997" customHeight="1">
      <c r="B34" s="34" t="s">
        <v>239</v>
      </c>
      <c r="C34" s="160">
        <f>'FORCAST SCHEDULES'!J73</f>
        <v>-755.94460842978833</v>
      </c>
      <c r="D34" s="161">
        <f>'FORCAST SCHEDULES'!K73</f>
        <v>-4429.3254281040045</v>
      </c>
      <c r="E34" s="161">
        <f>'FORCAST SCHEDULES'!L73</f>
        <v>-5169.2078496289196</v>
      </c>
      <c r="F34" s="161">
        <f>'FORCAST SCHEDULES'!M73</f>
        <v>-3513.5991520326052</v>
      </c>
      <c r="G34" s="162">
        <f>'FORCAST SCHEDULES'!N73</f>
        <v>-5006.9956157283304</v>
      </c>
      <c r="H34" s="161"/>
      <c r="K34" s="167" t="s">
        <v>245</v>
      </c>
    </row>
    <row r="35" spans="2:11">
      <c r="B35" s="86" t="s">
        <v>233</v>
      </c>
      <c r="C35" s="168">
        <f>C31+C32-C33-C34</f>
        <v>11736.409662779788</v>
      </c>
      <c r="D35" s="169">
        <f t="shared" ref="D35:G35" si="2">D31+D32-D33-D34</f>
        <v>17559.304401124256</v>
      </c>
      <c r="E35" s="169">
        <f t="shared" si="2"/>
        <v>20670.732079380257</v>
      </c>
      <c r="F35" s="169">
        <f t="shared" si="2"/>
        <v>21581.492494186783</v>
      </c>
      <c r="G35" s="170">
        <f t="shared" si="2"/>
        <v>25794.65481160819</v>
      </c>
      <c r="H35" s="161"/>
      <c r="K35" t="s">
        <v>246</v>
      </c>
    </row>
    <row r="38" spans="2:11">
      <c r="B38" s="285" t="s">
        <v>247</v>
      </c>
      <c r="C38" s="286"/>
      <c r="D38" s="286"/>
      <c r="E38" s="286"/>
      <c r="F38" s="286"/>
      <c r="G38" s="287"/>
      <c r="H38" s="187"/>
      <c r="K38" s="164" t="s">
        <v>106</v>
      </c>
    </row>
    <row r="39" spans="2:11">
      <c r="B39" s="116" t="s">
        <v>248</v>
      </c>
      <c r="C39" s="116" t="s">
        <v>249</v>
      </c>
      <c r="D39" s="276" t="s">
        <v>253</v>
      </c>
      <c r="E39" s="280"/>
      <c r="F39" s="280"/>
      <c r="G39" s="277"/>
      <c r="H39" s="156"/>
    </row>
    <row r="40" spans="2:11">
      <c r="B40" s="32" t="s">
        <v>250</v>
      </c>
      <c r="C40" s="171">
        <f>G35</f>
        <v>25794.65481160819</v>
      </c>
      <c r="D40" s="276" t="s">
        <v>255</v>
      </c>
      <c r="E40" s="280"/>
      <c r="F40" s="280"/>
      <c r="G40" s="277"/>
      <c r="H40" s="156"/>
    </row>
    <row r="41" spans="2:11">
      <c r="B41" s="32" t="s">
        <v>251</v>
      </c>
      <c r="C41" s="172">
        <v>0.06</v>
      </c>
      <c r="D41" s="298"/>
      <c r="E41" s="299"/>
      <c r="F41" s="299"/>
      <c r="G41" s="300"/>
      <c r="H41" s="156"/>
    </row>
    <row r="42" spans="2:11" ht="43.2">
      <c r="B42" s="32" t="s">
        <v>221</v>
      </c>
      <c r="C42" s="173">
        <f>C22</f>
        <v>7.6573333333333327E-2</v>
      </c>
      <c r="D42" s="298"/>
      <c r="E42" s="299"/>
      <c r="F42" s="299"/>
      <c r="G42" s="300"/>
      <c r="H42" s="156"/>
      <c r="K42" s="167" t="s">
        <v>254</v>
      </c>
    </row>
    <row r="43" spans="2:11" ht="28.8">
      <c r="B43" s="120" t="s">
        <v>252</v>
      </c>
      <c r="C43" s="175">
        <f>(C40*(1+C41))/(C42-C41)</f>
        <v>1649778.8073393821</v>
      </c>
      <c r="D43" s="278"/>
      <c r="E43" s="281"/>
      <c r="F43" s="281"/>
      <c r="G43" s="279"/>
      <c r="H43" s="156"/>
      <c r="K43" s="167" t="s">
        <v>256</v>
      </c>
    </row>
    <row r="46" spans="2:11">
      <c r="B46" s="285" t="s">
        <v>257</v>
      </c>
      <c r="C46" s="286"/>
      <c r="D46" s="286"/>
      <c r="E46" s="286"/>
      <c r="F46" s="286"/>
      <c r="G46" s="287"/>
      <c r="H46" s="187"/>
      <c r="K46" s="164" t="s">
        <v>106</v>
      </c>
    </row>
    <row r="47" spans="2:11">
      <c r="B47" s="116" t="s">
        <v>248</v>
      </c>
      <c r="C47" s="116" t="s">
        <v>249</v>
      </c>
      <c r="D47" s="276" t="s">
        <v>253</v>
      </c>
      <c r="E47" s="280"/>
      <c r="F47" s="280"/>
      <c r="G47" s="277"/>
      <c r="H47" s="156"/>
    </row>
    <row r="48" spans="2:11">
      <c r="B48" s="60" t="s">
        <v>258</v>
      </c>
      <c r="C48" s="171">
        <f>'INCOME STATEMENT'!N15</f>
        <v>30119.800058943947</v>
      </c>
      <c r="D48" s="276" t="s">
        <v>267</v>
      </c>
      <c r="E48" s="280"/>
      <c r="F48" s="280"/>
      <c r="G48" s="277"/>
      <c r="H48" s="156"/>
    </row>
    <row r="49" spans="2:13">
      <c r="B49" s="32" t="s">
        <v>259</v>
      </c>
      <c r="C49" s="185">
        <f>'BETA AND EV_MULTIPLE CALCULATIO'!F15</f>
        <v>44.302690582959642</v>
      </c>
      <c r="D49" s="298"/>
      <c r="E49" s="299"/>
      <c r="F49" s="299"/>
      <c r="G49" s="300"/>
      <c r="H49" s="156"/>
      <c r="K49" s="186" t="s">
        <v>268</v>
      </c>
    </row>
    <row r="50" spans="2:13">
      <c r="B50" s="120" t="s">
        <v>252</v>
      </c>
      <c r="C50" s="175">
        <f>C48*C49</f>
        <v>1334388.1824320033</v>
      </c>
      <c r="D50" s="278"/>
      <c r="E50" s="281"/>
      <c r="F50" s="281"/>
      <c r="G50" s="279"/>
      <c r="H50" s="156"/>
      <c r="K50" s="167"/>
    </row>
    <row r="53" spans="2:13">
      <c r="B53" s="285" t="s">
        <v>269</v>
      </c>
      <c r="C53" s="286"/>
      <c r="D53" s="286"/>
      <c r="E53" s="286"/>
      <c r="F53" s="286"/>
      <c r="G53" s="286"/>
      <c r="H53" s="286"/>
      <c r="I53" s="287"/>
      <c r="J53" s="187"/>
    </row>
    <row r="54" spans="2:13">
      <c r="B54" s="274" t="s">
        <v>18</v>
      </c>
      <c r="C54" s="157" t="s">
        <v>97</v>
      </c>
      <c r="D54" s="157" t="s">
        <v>97</v>
      </c>
      <c r="E54" s="157" t="s">
        <v>97</v>
      </c>
      <c r="F54" s="157" t="s">
        <v>97</v>
      </c>
      <c r="G54" s="158" t="s">
        <v>97</v>
      </c>
      <c r="H54" s="157" t="s">
        <v>275</v>
      </c>
      <c r="I54" s="116" t="s">
        <v>253</v>
      </c>
      <c r="L54" s="1"/>
      <c r="M54" s="26"/>
    </row>
    <row r="55" spans="2:13">
      <c r="B55" s="275"/>
      <c r="C55" s="1">
        <v>2026</v>
      </c>
      <c r="D55" s="1">
        <v>2027</v>
      </c>
      <c r="E55" s="1">
        <v>2028</v>
      </c>
      <c r="F55" s="1">
        <v>2029</v>
      </c>
      <c r="G55" s="26">
        <v>2030</v>
      </c>
      <c r="H55" s="60"/>
      <c r="I55" s="32"/>
    </row>
    <row r="56" spans="2:13">
      <c r="B56" s="60" t="s">
        <v>270</v>
      </c>
      <c r="C56" s="159">
        <f>C35</f>
        <v>11736.409662779788</v>
      </c>
      <c r="D56" s="165">
        <f t="shared" ref="D56:G56" si="3">D35</f>
        <v>17559.304401124256</v>
      </c>
      <c r="E56" s="165">
        <f t="shared" si="3"/>
        <v>20670.732079380257</v>
      </c>
      <c r="F56" s="165">
        <f t="shared" si="3"/>
        <v>21581.492494186783</v>
      </c>
      <c r="G56" s="166">
        <f t="shared" si="3"/>
        <v>25794.65481160819</v>
      </c>
      <c r="H56" s="171"/>
      <c r="I56" s="32"/>
    </row>
    <row r="57" spans="2:13">
      <c r="B57" s="32" t="s">
        <v>271</v>
      </c>
      <c r="C57" s="189">
        <f>1/(1+$C$22)^1</f>
        <v>0.92887309116579764</v>
      </c>
      <c r="D57" s="190">
        <f>1/(1+$C$22)^2</f>
        <v>0.86280521949190414</v>
      </c>
      <c r="E57" s="190">
        <f>1/(1+$C$22)^3</f>
        <v>0.8014365513034295</v>
      </c>
      <c r="F57" s="190">
        <f>1/(1+$C$22)^4</f>
        <v>0.74443284678247301</v>
      </c>
      <c r="G57" s="191">
        <f>1/(1+$C$22)^5</f>
        <v>0.6914836395561903</v>
      </c>
      <c r="H57" s="192"/>
      <c r="I57" s="193" t="s">
        <v>273</v>
      </c>
      <c r="J57" s="231"/>
    </row>
    <row r="58" spans="2:13">
      <c r="B58" s="32" t="s">
        <v>272</v>
      </c>
      <c r="C58" s="160">
        <f>C56*C57</f>
        <v>10901.635122654397</v>
      </c>
      <c r="D58" s="161">
        <f t="shared" ref="D58:G58" si="4">D56*D57</f>
        <v>15150.259487937172</v>
      </c>
      <c r="E58" s="161">
        <f t="shared" si="4"/>
        <v>16566.280230615681</v>
      </c>
      <c r="F58" s="161">
        <f t="shared" si="4"/>
        <v>16065.971895262041</v>
      </c>
      <c r="G58" s="162">
        <f t="shared" si="4"/>
        <v>17836.581790226428</v>
      </c>
      <c r="H58" s="171">
        <f>SUM(C58:G58)</f>
        <v>76520.728526695719</v>
      </c>
      <c r="I58" s="193" t="s">
        <v>274</v>
      </c>
      <c r="J58" s="231"/>
    </row>
    <row r="59" spans="2:13" ht="43.2">
      <c r="B59" s="32" t="s">
        <v>276</v>
      </c>
      <c r="C59" s="34"/>
      <c r="G59" s="162">
        <f>C43*G57</f>
        <v>1140795.0541617069</v>
      </c>
      <c r="H59" s="32"/>
      <c r="I59" s="32" t="s">
        <v>280</v>
      </c>
      <c r="K59" s="167" t="s">
        <v>281</v>
      </c>
    </row>
    <row r="60" spans="2:13" ht="48.6" customHeight="1">
      <c r="B60" s="32" t="s">
        <v>277</v>
      </c>
      <c r="C60" s="34"/>
      <c r="G60" s="162">
        <f>C50*G57</f>
        <v>922707.59696885129</v>
      </c>
      <c r="H60" s="32"/>
      <c r="I60" s="32" t="s">
        <v>280</v>
      </c>
      <c r="K60" s="167" t="s">
        <v>282</v>
      </c>
    </row>
    <row r="61" spans="2:13">
      <c r="B61" s="32" t="s">
        <v>278</v>
      </c>
      <c r="C61" s="34"/>
      <c r="G61" s="25"/>
      <c r="H61" s="171">
        <f>G59+H58</f>
        <v>1217315.7826884026</v>
      </c>
      <c r="I61" s="32"/>
      <c r="K61" s="167"/>
    </row>
    <row r="62" spans="2:13">
      <c r="B62" s="120" t="s">
        <v>279</v>
      </c>
      <c r="C62" s="35"/>
      <c r="D62" s="36"/>
      <c r="E62" s="36"/>
      <c r="F62" s="36"/>
      <c r="G62" s="37"/>
      <c r="H62" s="175">
        <f>G60+H58</f>
        <v>999228.32549554703</v>
      </c>
      <c r="I62" s="120"/>
    </row>
    <row r="65" spans="2:10">
      <c r="B65" s="291" t="s">
        <v>283</v>
      </c>
      <c r="C65" s="292"/>
      <c r="D65" s="194"/>
      <c r="E65" s="292" t="s">
        <v>288</v>
      </c>
      <c r="F65" s="293"/>
    </row>
    <row r="66" spans="2:10">
      <c r="B66" s="60" t="s">
        <v>284</v>
      </c>
      <c r="C66" s="165">
        <f>H61</f>
        <v>1217315.7826884026</v>
      </c>
      <c r="D66" s="171"/>
      <c r="E66" s="26" t="s">
        <v>284</v>
      </c>
      <c r="F66" s="166">
        <f>H62</f>
        <v>999228.32549554703</v>
      </c>
    </row>
    <row r="67" spans="2:10">
      <c r="B67" s="32" t="s">
        <v>285</v>
      </c>
      <c r="C67">
        <v>0</v>
      </c>
      <c r="D67" s="32"/>
      <c r="E67" s="25" t="s">
        <v>285</v>
      </c>
      <c r="F67" s="25">
        <v>0</v>
      </c>
    </row>
    <row r="68" spans="2:10">
      <c r="B68" s="32" t="s">
        <v>286</v>
      </c>
      <c r="C68">
        <v>0</v>
      </c>
      <c r="D68" s="32"/>
      <c r="E68" s="25" t="s">
        <v>286</v>
      </c>
      <c r="F68" s="25">
        <v>0</v>
      </c>
    </row>
    <row r="69" spans="2:10">
      <c r="B69" s="116" t="s">
        <v>287</v>
      </c>
      <c r="C69" s="169">
        <f>C66-C67+C68</f>
        <v>1217315.7826884026</v>
      </c>
      <c r="D69" s="171"/>
      <c r="E69" s="88" t="s">
        <v>287</v>
      </c>
      <c r="F69" s="170">
        <f>F66-F67+F68</f>
        <v>999228.32549554703</v>
      </c>
    </row>
    <row r="71" spans="2:10">
      <c r="B71" s="291" t="s">
        <v>291</v>
      </c>
      <c r="C71" s="292"/>
      <c r="D71" s="194"/>
      <c r="E71" s="292" t="s">
        <v>292</v>
      </c>
      <c r="F71" s="293"/>
    </row>
    <row r="72" spans="2:10">
      <c r="B72" s="60" t="s">
        <v>289</v>
      </c>
      <c r="C72" s="165">
        <f>C69</f>
        <v>1217315.7826884026</v>
      </c>
      <c r="D72" s="171"/>
      <c r="E72" s="60" t="s">
        <v>289</v>
      </c>
      <c r="F72" s="166">
        <f>F69</f>
        <v>999228.32549554703</v>
      </c>
    </row>
    <row r="73" spans="2:10">
      <c r="B73" s="120" t="s">
        <v>290</v>
      </c>
      <c r="C73" s="195">
        <f>'INCOME STATEMENT'!J38</f>
        <v>247.5</v>
      </c>
      <c r="D73" s="32"/>
      <c r="E73" s="120" t="s">
        <v>290</v>
      </c>
      <c r="F73" s="179">
        <f>C73</f>
        <v>247.5</v>
      </c>
    </row>
    <row r="74" spans="2:10">
      <c r="B74" s="116" t="s">
        <v>287</v>
      </c>
      <c r="C74" s="169">
        <f>C72/C73</f>
        <v>4918.4476068218282</v>
      </c>
      <c r="D74" s="171"/>
      <c r="E74" s="88" t="s">
        <v>287</v>
      </c>
      <c r="F74" s="170">
        <f>F72/F73</f>
        <v>4037.286163618372</v>
      </c>
    </row>
    <row r="80" spans="2:10" ht="47.4" customHeight="1">
      <c r="B80" s="291" t="s">
        <v>350</v>
      </c>
      <c r="C80" s="292"/>
      <c r="D80" s="292"/>
      <c r="E80" s="292"/>
      <c r="F80" s="292"/>
      <c r="G80" s="292"/>
      <c r="H80" s="293"/>
      <c r="J80" s="164" t="s">
        <v>106</v>
      </c>
    </row>
    <row r="81" spans="2:10" ht="47.4" customHeight="1">
      <c r="B81" s="33"/>
      <c r="C81" s="26"/>
      <c r="D81" s="291" t="s">
        <v>349</v>
      </c>
      <c r="E81" s="292"/>
      <c r="F81" s="292"/>
      <c r="G81" s="292"/>
      <c r="H81" s="293"/>
      <c r="J81" s="297" t="s">
        <v>351</v>
      </c>
    </row>
    <row r="82" spans="2:10" ht="47.4" customHeight="1">
      <c r="B82" s="35"/>
      <c r="C82" s="230">
        <f>H61</f>
        <v>1217315.7826884026</v>
      </c>
      <c r="D82" s="225">
        <f>E82-0.005</f>
        <v>6.6599999999999993E-2</v>
      </c>
      <c r="E82" s="226">
        <f>F82-0.005</f>
        <v>7.1599999999999997E-2</v>
      </c>
      <c r="F82" s="226">
        <v>7.6600000000000001E-2</v>
      </c>
      <c r="G82" s="227">
        <f>F82+0.005</f>
        <v>8.1600000000000006E-2</v>
      </c>
      <c r="H82" s="228">
        <f>G82+0.005</f>
        <v>8.660000000000001E-2</v>
      </c>
      <c r="J82" s="288"/>
    </row>
    <row r="83" spans="2:10" ht="47.4" customHeight="1">
      <c r="B83" s="294" t="s">
        <v>352</v>
      </c>
      <c r="C83" s="224">
        <v>0.04</v>
      </c>
      <c r="D83" s="125">
        <f t="dataTable" ref="D83:H87" dt2D="1" dtr="1" r1="C22" r2="C41"/>
        <v>809425.09764714702</v>
      </c>
      <c r="E83" s="106">
        <v>678437.92660013516</v>
      </c>
      <c r="F83" s="106">
        <v>583283.7423639982</v>
      </c>
      <c r="G83" s="106">
        <v>511041.06044729357</v>
      </c>
      <c r="H83" s="111">
        <v>454334.12269695295</v>
      </c>
      <c r="J83" s="288"/>
    </row>
    <row r="84" spans="2:10" ht="47.4" customHeight="1">
      <c r="B84" s="295"/>
      <c r="C84" s="207">
        <v>0.05</v>
      </c>
      <c r="D84" s="126">
        <v>1260796.124259975</v>
      </c>
      <c r="E84" s="105">
        <v>965025.96965810726</v>
      </c>
      <c r="F84" s="105">
        <v>780503.08028115681</v>
      </c>
      <c r="G84" s="105">
        <v>654419.08512664947</v>
      </c>
      <c r="H84" s="104">
        <v>562822.67541533243</v>
      </c>
      <c r="J84" s="288"/>
    </row>
    <row r="85" spans="2:10" ht="47.4" customHeight="1">
      <c r="B85" s="295"/>
      <c r="C85" s="207">
        <v>0.06</v>
      </c>
      <c r="D85" s="126">
        <v>3079958.140608645</v>
      </c>
      <c r="E85" s="105">
        <v>1745731.3283332724</v>
      </c>
      <c r="F85" s="105">
        <v>1215336.0783394703</v>
      </c>
      <c r="G85" s="105">
        <v>930554.54006466805</v>
      </c>
      <c r="H85" s="104">
        <v>752881.56852347078</v>
      </c>
      <c r="J85" s="288"/>
    </row>
    <row r="86" spans="2:10" ht="47.4" customHeight="1">
      <c r="B86" s="295"/>
      <c r="C86" s="207">
        <v>7.0000000000000007E-2</v>
      </c>
      <c r="D86" s="126">
        <v>-5801832.8803877728</v>
      </c>
      <c r="E86" s="105">
        <v>12285253.670448074</v>
      </c>
      <c r="F86" s="105">
        <v>2967844.8280896461</v>
      </c>
      <c r="G86" s="105">
        <v>1682785.6069647889</v>
      </c>
      <c r="H86" s="104">
        <v>1171927.079834186</v>
      </c>
      <c r="J86" s="288"/>
    </row>
    <row r="87" spans="2:10" ht="47.4" customHeight="1">
      <c r="B87" s="296"/>
      <c r="C87" s="208">
        <v>0.08</v>
      </c>
      <c r="D87" s="182">
        <v>-1427219.3924343258</v>
      </c>
      <c r="E87" s="229">
        <v>-2269324.8019961473</v>
      </c>
      <c r="F87" s="229">
        <v>-5588521.4206906138</v>
      </c>
      <c r="G87" s="229">
        <v>11837905.010116382</v>
      </c>
      <c r="H87" s="215">
        <v>2860807.4739046404</v>
      </c>
      <c r="J87" s="288"/>
    </row>
  </sheetData>
  <mergeCells count="20">
    <mergeCell ref="D81:H81"/>
    <mergeCell ref="B83:B87"/>
    <mergeCell ref="B80:H80"/>
    <mergeCell ref="J81:J87"/>
    <mergeCell ref="D39:G39"/>
    <mergeCell ref="D40:G43"/>
    <mergeCell ref="E65:F65"/>
    <mergeCell ref="B65:C65"/>
    <mergeCell ref="B71:C71"/>
    <mergeCell ref="E71:F71"/>
    <mergeCell ref="B46:G46"/>
    <mergeCell ref="D47:G47"/>
    <mergeCell ref="D48:G50"/>
    <mergeCell ref="B54:B55"/>
    <mergeCell ref="B53:I53"/>
    <mergeCell ref="B38:G38"/>
    <mergeCell ref="K18:K19"/>
    <mergeCell ref="B2:C2"/>
    <mergeCell ref="B25:G25"/>
    <mergeCell ref="K28:K29"/>
  </mergeCells>
  <hyperlinks>
    <hyperlink ref="K49" location="'Comparable Company Analysis'!A1" display="FROM COMPARABLE COMPANY ANALYSIS" xr:uid="{94A9DB88-A5F9-47DB-9F09-4FD8BD11FFA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BBA5B-BA2F-4926-9F15-146B138D6430}">
  <dimension ref="B2:E11"/>
  <sheetViews>
    <sheetView showGridLines="0" workbookViewId="0">
      <selection activeCell="C18" sqref="C18"/>
    </sheetView>
  </sheetViews>
  <sheetFormatPr defaultRowHeight="14.4"/>
  <cols>
    <col min="2" max="2" width="16.44140625" bestFit="1" customWidth="1"/>
    <col min="3" max="3" width="35.109375" bestFit="1" customWidth="1"/>
    <col min="4" max="4" width="19.109375" bestFit="1" customWidth="1"/>
    <col min="5" max="5" width="81" bestFit="1" customWidth="1"/>
  </cols>
  <sheetData>
    <row r="2" spans="2:5">
      <c r="B2" s="299" t="s">
        <v>25</v>
      </c>
      <c r="C2" s="299"/>
      <c r="D2" s="299"/>
      <c r="E2" s="299"/>
    </row>
    <row r="3" spans="2:5">
      <c r="B3" s="281"/>
      <c r="C3" s="281"/>
      <c r="D3" s="281"/>
      <c r="E3" s="281"/>
    </row>
    <row r="4" spans="2:5">
      <c r="B4" s="271">
        <f>SUM(B6:B15)</f>
        <v>6.0000000000400178E-2</v>
      </c>
      <c r="C4" s="291" t="s">
        <v>24</v>
      </c>
      <c r="D4" s="292"/>
      <c r="E4" s="293"/>
    </row>
    <row r="5" spans="2:5">
      <c r="B5" s="116"/>
      <c r="C5" s="87"/>
      <c r="D5" s="87"/>
      <c r="E5" s="88"/>
    </row>
    <row r="6" spans="2:5">
      <c r="B6" s="272">
        <f>SUM('INCOME STATEMENT'!C16:N16)</f>
        <v>6.0000000000400178E-2</v>
      </c>
      <c r="C6" s="60" t="s">
        <v>26</v>
      </c>
      <c r="D6" s="294" t="s">
        <v>56</v>
      </c>
      <c r="E6" s="25" t="s">
        <v>29</v>
      </c>
    </row>
    <row r="7" spans="2:5">
      <c r="B7" s="272">
        <f>SUM('INCOME STATEMENT'!C22:N22)</f>
        <v>0</v>
      </c>
      <c r="C7" s="32" t="s">
        <v>26</v>
      </c>
      <c r="D7" s="295"/>
      <c r="E7" s="25" t="s">
        <v>30</v>
      </c>
    </row>
    <row r="8" spans="2:5">
      <c r="B8" s="272">
        <f>SUM('INCOME STATEMENT'!C36:N36)</f>
        <v>0</v>
      </c>
      <c r="C8" s="32" t="s">
        <v>27</v>
      </c>
      <c r="D8" s="295"/>
      <c r="E8" s="25" t="s">
        <v>31</v>
      </c>
    </row>
    <row r="9" spans="2:5">
      <c r="B9" s="272">
        <f>SUM('BALANCE SHEET'!C32:I32)</f>
        <v>0</v>
      </c>
      <c r="C9" s="32" t="s">
        <v>55</v>
      </c>
      <c r="D9" s="32" t="s">
        <v>28</v>
      </c>
      <c r="E9" s="25" t="s">
        <v>57</v>
      </c>
    </row>
    <row r="10" spans="2:5">
      <c r="B10" s="272">
        <f>SUM('CASH FLOW'!D33:J33)</f>
        <v>0</v>
      </c>
      <c r="C10" s="32" t="s">
        <v>93</v>
      </c>
      <c r="D10" s="32" t="s">
        <v>94</v>
      </c>
      <c r="E10" s="25" t="s">
        <v>95</v>
      </c>
    </row>
    <row r="11" spans="2:5">
      <c r="B11" s="273">
        <f>SUM('FORCAST SCHEDULES'!C18:N18)</f>
        <v>0</v>
      </c>
      <c r="C11" s="120" t="s">
        <v>134</v>
      </c>
      <c r="D11" s="120" t="s">
        <v>141</v>
      </c>
      <c r="E11" s="37" t="s">
        <v>142</v>
      </c>
    </row>
  </sheetData>
  <mergeCells count="3">
    <mergeCell ref="D6:D8"/>
    <mergeCell ref="C4:E4"/>
    <mergeCell ref="B2:E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823C8-F12B-4660-8C97-3CB9C2DFBDB2}">
  <dimension ref="B2:E15"/>
  <sheetViews>
    <sheetView showGridLines="0" topLeftCell="A12" workbookViewId="0">
      <selection activeCell="J24" sqref="J24"/>
    </sheetView>
  </sheetViews>
  <sheetFormatPr defaultRowHeight="14.4"/>
  <cols>
    <col min="2" max="2" width="18.44140625" bestFit="1" customWidth="1"/>
    <col min="3" max="3" width="28.21875" bestFit="1" customWidth="1"/>
    <col min="4" max="4" width="15.77734375" bestFit="1" customWidth="1"/>
    <col min="5" max="5" width="49.88671875" style="85" bestFit="1" customWidth="1"/>
    <col min="6" max="6" width="8.77734375" customWidth="1"/>
  </cols>
  <sheetData>
    <row r="2" spans="2:5">
      <c r="B2" s="36" t="s">
        <v>100</v>
      </c>
      <c r="C2" s="36" t="s">
        <v>101</v>
      </c>
      <c r="D2" s="36" t="s">
        <v>103</v>
      </c>
      <c r="E2" s="99" t="s">
        <v>98</v>
      </c>
    </row>
    <row r="3" spans="2:5" ht="115.2">
      <c r="B3" s="294" t="s">
        <v>56</v>
      </c>
      <c r="C3" s="295" t="s">
        <v>102</v>
      </c>
      <c r="D3" s="97">
        <v>0.21</v>
      </c>
      <c r="E3" s="98" t="s">
        <v>105</v>
      </c>
    </row>
    <row r="4" spans="2:5">
      <c r="B4" s="295"/>
      <c r="C4" s="295"/>
      <c r="D4" s="72">
        <f>D3-0.015</f>
        <v>0.19500000000000001</v>
      </c>
      <c r="E4" s="83" t="s">
        <v>104</v>
      </c>
    </row>
    <row r="5" spans="2:5">
      <c r="B5" s="295"/>
      <c r="C5" s="295"/>
      <c r="D5" s="72">
        <f t="shared" ref="D5:D7" si="0">D4-0.015</f>
        <v>0.18</v>
      </c>
      <c r="E5" s="83" t="s">
        <v>104</v>
      </c>
    </row>
    <row r="6" spans="2:5">
      <c r="B6" s="295"/>
      <c r="C6" s="295"/>
      <c r="D6" s="72">
        <f t="shared" si="0"/>
        <v>0.16499999999999998</v>
      </c>
      <c r="E6" s="83" t="s">
        <v>104</v>
      </c>
    </row>
    <row r="7" spans="2:5">
      <c r="B7" s="295"/>
      <c r="C7" s="296"/>
      <c r="D7" s="72">
        <f t="shared" si="0"/>
        <v>0.14999999999999997</v>
      </c>
      <c r="E7" s="81" t="s">
        <v>104</v>
      </c>
    </row>
    <row r="8" spans="2:5" ht="187.2">
      <c r="B8" s="295"/>
      <c r="C8" s="79" t="s">
        <v>8</v>
      </c>
      <c r="D8" s="80">
        <v>0.1963</v>
      </c>
      <c r="E8" s="84" t="s">
        <v>110</v>
      </c>
    </row>
    <row r="9" spans="2:5" ht="273.60000000000002">
      <c r="B9" s="295"/>
      <c r="C9" s="79" t="s">
        <v>1</v>
      </c>
      <c r="D9" s="95">
        <v>0</v>
      </c>
      <c r="E9" s="84" t="s">
        <v>124</v>
      </c>
    </row>
    <row r="10" spans="2:5" ht="201.6">
      <c r="B10" s="295"/>
      <c r="C10" s="79" t="s">
        <v>23</v>
      </c>
      <c r="D10" s="95">
        <v>0</v>
      </c>
      <c r="E10" s="84" t="s">
        <v>126</v>
      </c>
    </row>
    <row r="11" spans="2:5" ht="158.4">
      <c r="B11" s="296"/>
      <c r="C11" s="79" t="s">
        <v>35</v>
      </c>
      <c r="D11" s="100">
        <v>247.5</v>
      </c>
      <c r="E11" s="84" t="s">
        <v>127</v>
      </c>
    </row>
    <row r="12" spans="2:5" ht="115.2">
      <c r="B12" s="303" t="s">
        <v>28</v>
      </c>
      <c r="C12" s="79" t="s">
        <v>128</v>
      </c>
      <c r="D12" s="110">
        <v>247.5</v>
      </c>
      <c r="E12" s="82" t="s">
        <v>129</v>
      </c>
    </row>
    <row r="13" spans="2:5" ht="129.6" customHeight="1">
      <c r="B13" s="304"/>
      <c r="C13" s="294" t="s">
        <v>144</v>
      </c>
      <c r="D13" s="301" t="s">
        <v>147</v>
      </c>
      <c r="E13" s="306" t="s">
        <v>148</v>
      </c>
    </row>
    <row r="14" spans="2:5">
      <c r="B14" s="304"/>
      <c r="C14" s="296"/>
      <c r="D14" s="302"/>
      <c r="E14" s="307"/>
    </row>
    <row r="15" spans="2:5" ht="86.4">
      <c r="B15" s="305"/>
      <c r="C15" s="116" t="s">
        <v>51</v>
      </c>
      <c r="D15" s="132">
        <v>0</v>
      </c>
      <c r="E15" s="84" t="s">
        <v>182</v>
      </c>
    </row>
  </sheetData>
  <mergeCells count="6">
    <mergeCell ref="D13:D14"/>
    <mergeCell ref="B12:B15"/>
    <mergeCell ref="E13:E14"/>
    <mergeCell ref="C3:C7"/>
    <mergeCell ref="B3:B11"/>
    <mergeCell ref="C13: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INCOME STATEMENT</vt:lpstr>
      <vt:lpstr>CASH FLOW</vt:lpstr>
      <vt:lpstr>BALANCE SHEET</vt:lpstr>
      <vt:lpstr>KEY RATIOS</vt:lpstr>
      <vt:lpstr>Comparable Company Analysis (CC</vt:lpstr>
      <vt:lpstr>Final Valuation Summary</vt:lpstr>
      <vt:lpstr>FORCAST SCHEDULES</vt:lpstr>
      <vt:lpstr>BETA AND EV_MULTIPLE CALCULATIO</vt:lpstr>
      <vt:lpstr>Free Cash Flow Calculation.</vt:lpstr>
      <vt:lpstr>WACC AND DCF CALCULATION</vt:lpstr>
      <vt:lpstr>ERROR CHECK</vt:lpstr>
      <vt:lpstr>ASSUMPTIONS AND REASONING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Iyer</dc:creator>
  <cp:lastModifiedBy>Shiva Iyer</cp:lastModifiedBy>
  <dcterms:created xsi:type="dcterms:W3CDTF">2025-05-30T10:01:57Z</dcterms:created>
  <dcterms:modified xsi:type="dcterms:W3CDTF">2025-09-26T04:59:42Z</dcterms:modified>
</cp:coreProperties>
</file>